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d7dfa721c54024" /></Relationships>
</file>

<file path=xl/workbook.xml><?xml version="1.0" encoding="utf-8"?>
<x:workbook xmlns:x="http://schemas.openxmlformats.org/spreadsheetml/2006/main">
  <x:sheets>
    <x:sheet xmlns:r="http://schemas.openxmlformats.org/officeDocument/2006/relationships" name="Dashboard" sheetId="1" r:id="R92ce9f2c373e4312"/>
    <x:sheet xmlns:r="http://schemas.openxmlformats.org/officeDocument/2006/relationships" name="Claim Inventory" sheetId="2" r:id="Rc3aa69805aca4bc3"/>
    <x:sheet xmlns:r="http://schemas.openxmlformats.org/officeDocument/2006/relationships" name="Task Register" sheetId="3" r:id="Rb2cb37783a6242c5"/>
    <x:sheet xmlns:r="http://schemas.openxmlformats.org/officeDocument/2006/relationships" name="Risk Register" sheetId="4" r:id="Rbfe134651b454a32"/>
    <x:sheet xmlns:r="http://schemas.openxmlformats.org/officeDocument/2006/relationships" name="Source Inventory" sheetId="5" r:id="Rd6fb6b25d0c94893"/>
    <x:sheet xmlns:r="http://schemas.openxmlformats.org/officeDocument/2006/relationships" name="MPEP Update Register" sheetId="6" r:id="R6eaba3e908ac4779"/>
    <x:sheet xmlns:r="http://schemas.openxmlformats.org/officeDocument/2006/relationships" name="Business Skeleton" sheetId="7" r:id="Rc375e8fa20cc493f"/>
    <x:sheet xmlns:r="http://schemas.openxmlformats.org/officeDocument/2006/relationships" name="Decision Log" sheetId="8" r:id="R0d7e61162e26434c"/>
    <x:sheet xmlns:r="http://schemas.openxmlformats.org/officeDocument/2006/relationships" name="Broad Disclosure Matrix" sheetId="9" r:id="R96b1b61b37fa416e"/>
    <x:sheet xmlns:r="http://schemas.openxmlformats.org/officeDocument/2006/relationships" name="Claim-Spec Support" sheetId="10" r:id="R13fbb3a912e04d7b"/>
    <x:sheet xmlns:r="http://schemas.openxmlformats.org/officeDocument/2006/relationships" name="Spec Section Map" sheetId="11" r:id="Re815f3c11c1a4c4b"/>
    <x:sheet xmlns:r="http://schemas.openxmlformats.org/officeDocument/2006/relationships" name="Post-Filing Invention Log" sheetId="12" r:id="R0d579c0186cf4af0"/>
    <x:sheet xmlns:r="http://schemas.openxmlformats.org/officeDocument/2006/relationships" name="Supplemental Prov Eval" sheetId="13" r:id="Rd87d7b55050145c3"/>
    <x:sheet xmlns:r="http://schemas.openxmlformats.org/officeDocument/2006/relationships" name="Figure Numerals" sheetId="14" r:id="R9a337529cbc54e1d"/>
    <x:sheet xmlns:r="http://schemas.openxmlformats.org/officeDocument/2006/relationships" name="Independent Family Audit" sheetId="15" r:id="R794db234a90649a1"/>
    <x:sheet xmlns:r="http://schemas.openxmlformats.org/officeDocument/2006/relationships" name="Figure-Spec Audit" sheetId="16" r:id="Ra4a250280c2a4938"/>
    <x:sheet xmlns:r="http://schemas.openxmlformats.org/officeDocument/2006/relationships" name="Detailed Claim-Spec Audit" sheetId="17" r:id="R4c0381ad8bcc4ef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2">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ba06487f1b4116" /><Relationship Type="http://schemas.openxmlformats.org/officeDocument/2006/relationships/theme" Target="/xl/theme/theme1.xml" Id="R417f0acb2e954bbc" /><Relationship Type="http://schemas.openxmlformats.org/officeDocument/2006/relationships/sharedStrings" Target="/xl/sharedStrings.xml" Id="R4fefd84b02b845f1" /><Relationship Type="http://schemas.openxmlformats.org/officeDocument/2006/relationships/worksheet" Target="/xl/worksheets/sheet1.xml" Id="R92ce9f2c373e4312" /><Relationship Type="http://schemas.openxmlformats.org/officeDocument/2006/relationships/worksheet" Target="/xl/worksheets/sheet2.xml" Id="Rc3aa69805aca4bc3" /><Relationship Type="http://schemas.openxmlformats.org/officeDocument/2006/relationships/worksheet" Target="/xl/worksheets/sheet3.xml" Id="Rb2cb37783a6242c5" /><Relationship Type="http://schemas.openxmlformats.org/officeDocument/2006/relationships/worksheet" Target="/xl/worksheets/sheet4.xml" Id="Rbfe134651b454a32" /><Relationship Type="http://schemas.openxmlformats.org/officeDocument/2006/relationships/worksheet" Target="/xl/worksheets/sheet5.xml" Id="Rd6fb6b25d0c94893" /><Relationship Type="http://schemas.openxmlformats.org/officeDocument/2006/relationships/worksheet" Target="/xl/worksheets/sheet6.xml" Id="R6eaba3e908ac4779" /><Relationship Type="http://schemas.openxmlformats.org/officeDocument/2006/relationships/worksheet" Target="/xl/worksheets/sheet7.xml" Id="Rc375e8fa20cc493f" /><Relationship Type="http://schemas.openxmlformats.org/officeDocument/2006/relationships/worksheet" Target="/xl/worksheets/sheet8.xml" Id="R0d7e61162e26434c" /><Relationship Type="http://schemas.openxmlformats.org/officeDocument/2006/relationships/worksheet" Target="/xl/worksheets/sheet9.xml" Id="R96b1b61b37fa416e" /><Relationship Type="http://schemas.openxmlformats.org/officeDocument/2006/relationships/worksheet" Target="/xl/worksheets/sheet10.xml" Id="R13fbb3a912e04d7b" /><Relationship Type="http://schemas.openxmlformats.org/officeDocument/2006/relationships/worksheet" Target="/xl/worksheets/sheet11.xml" Id="Re815f3c11c1a4c4b" /><Relationship Type="http://schemas.openxmlformats.org/officeDocument/2006/relationships/worksheet" Target="/xl/worksheets/sheet12.xml" Id="R0d579c0186cf4af0" /><Relationship Type="http://schemas.openxmlformats.org/officeDocument/2006/relationships/worksheet" Target="/xl/worksheets/sheet13.xml" Id="Rd87d7b55050145c3" /><Relationship Type="http://schemas.openxmlformats.org/officeDocument/2006/relationships/worksheet" Target="/xl/worksheets/sheet14.xml" Id="R9a337529cbc54e1d" /><Relationship Type="http://schemas.openxmlformats.org/officeDocument/2006/relationships/worksheet" Target="/xl/worksheets/sheet15.xml" Id="R794db234a90649a1" /><Relationship Type="http://schemas.openxmlformats.org/officeDocument/2006/relationships/worksheet" Target="/xl/worksheets/sheet16.xml" Id="Ra4a250280c2a4938" /><Relationship Type="http://schemas.openxmlformats.org/officeDocument/2006/relationships/worksheet" Target="/xl/worksheets/sheet17.xml" Id="R4c0381ad8bcc4efa"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8f411990f94501" /></Relationships>
</file>

<file path=xl/worksheets/_rels/sheet3.xml.rels>&#65279;<?xml version="1.0" encoding="utf-8"?><Relationships xmlns="http://schemas.openxmlformats.org/package/2006/relationships"><Relationship Type="http://schemas.openxmlformats.org/officeDocument/2006/relationships/table" Target="/xl/tables/table2.xml" Id="Ra633ef40705d45db" /></Relationships>
</file>

<file path=xl/worksheets/_rels/sheet4.xml.rels>&#65279;<?xml version="1.0" encoding="utf-8"?><Relationships xmlns="http://schemas.openxmlformats.org/package/2006/relationships"><Relationship Type="http://schemas.openxmlformats.org/officeDocument/2006/relationships/table" Target="/xl/tables/table3.xml" Id="R461f68058b3f471a" /></Relationships>
</file>

<file path=xl/worksheets/_rels/sheet5.xml.rels>&#65279;<?xml version="1.0" encoding="utf-8"?><Relationships xmlns="http://schemas.openxmlformats.org/package/2006/relationships"><Relationship Type="http://schemas.openxmlformats.org/officeDocument/2006/relationships/table" Target="/xl/tables/table4.xml" Id="R9539fb5e50434319" /></Relationships>
</file>

<file path=xl/worksheets/_rels/sheet6.xml.rels>&#65279;<?xml version="1.0" encoding="utf-8"?><Relationships xmlns="http://schemas.openxmlformats.org/package/2006/relationships"><Relationship Type="http://schemas.openxmlformats.org/officeDocument/2006/relationships/table" Target="/xl/tables/table5.xml" Id="R9ddf841d07534ae0" /></Relationships>
</file>

<file path=xl/worksheets/_rels/sheet7.xml.rels>&#65279;<?xml version="1.0" encoding="utf-8"?><Relationships xmlns="http://schemas.openxmlformats.org/package/2006/relationships"><Relationship Type="http://schemas.openxmlformats.org/officeDocument/2006/relationships/table" Target="/xl/tables/table6.xml" Id="Rde47831ab4164927"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5" t="str">
        <x:v>Feral Pig / Pest-Control Patent &amp; Business Buildout</x:v>
      </x:c>
      <x:c r="B1" s="5"/>
      <x:c r="C1" s="5"/>
      <x:c r="D1" s="5"/>
      <x:c r="E1" s="5"/>
      <x:c r="F1" s="5"/>
      <x:c r="G1" s="5"/>
      <x:c r="H1" s="5"/>
    </x:row>
    <x:row r="2">
      <x:c r="A2" s="12" t="str">
        <x:v>Project control baseline - 2026-09-03</x:v>
      </x:c>
      <x:c r="B2" s="12"/>
      <x:c r="C2" s="12"/>
      <x:c r="D2" s="12"/>
      <x:c r="E2" s="12"/>
      <x:c r="F2" s="12"/>
      <x:c r="G2" s="12"/>
      <x:c r="H2" s="12"/>
    </x:row>
    <x:row r="4">
      <x:c r="A4" s="20" t="str">
        <x:v>Metric</x:v>
      </x:c>
      <x:c r="B4" s="20" t="str">
        <x:v>Value</x:v>
      </x:c>
      <x:c r="C4" s="20" t="str">
        <x:v>Definition / gate</x:v>
      </x:c>
      <x:c r="E4" s="20" t="str">
        <x:v>Current Gate</x:v>
      </x:c>
      <x:c r="F4" s="20" t="str">
        <x:v>State</x:v>
      </x:c>
      <x:c r="G4" s="20" t="str">
        <x:v>Reason</x:v>
      </x:c>
      <x:c r="H4" s="20" t="str">
        <x:v>Required next evidence</x:v>
      </x:c>
    </x:row>
    <x:row r="5">
      <x:c r="A5" s="26" t="str">
        <x:v>Provisional exemplary claims drafted</x:v>
      </x:c>
      <x:c r="B5" s="26" t="n">
        <x:v>135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14</x:v>
      </x:c>
      <x:c r="C6" s="26" t="str">
        <x:v>Feral-pig general; local population; general toxin; species-selective toxin; reproductive; genetic; feed; system; AI training; software; predetermined toxin; generic target animal; attraction/trough; KAPUT warfarin</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121</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f>COUNTIFS('Risk Register'!F2:F200,"Yes",'Risk Register'!G2:G200,"&lt;&gt;Resolved")</x:f>
        <x:v>11</x:v>
      </x:c>
      <x:c r="C9" s="26" t="str">
        <x:v>Any blocking risk register row marked Yes and Status != Resolved</x:v>
      </x:c>
      <x:c r="D9" s="26"/>
      <x:c r="E9" s="26" t="str">
        <x:v>Pilot deployment</x:v>
      </x:c>
      <x:c r="F9" s="26" t="str">
        <x:v>NOT READY</x:v>
      </x:c>
      <x:c r="G9" s="26" t="str">
        <x:v>Regulatory path not mapped</x:v>
      </x:c>
      <x:c r="H9" s="26" t="str">
        <x:v>EPA/state/wildlife/operator approvals and safety protocol</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Transcript contains direct technical overlap clues; formal search pending</x:v>
      </x:c>
      <x:c r="H10" s="26" t="str">
        <x:v>Primary-source tracing + Patent Public Search/Google Patents/professional search</x:v>
      </x:c>
    </x:row>
    <x:row r="11">
      <x:c r="A11" t="str">
        <x:v>MPEP update authorities indexed</x:v>
      </x:c>
      <x:c r="B11" t="n">
        <x:f>COUNTA('MPEP Update Register'!A2:A100)</x:f>
        <x:v>29</x:v>
      </x:c>
      <x:c r="C11" t="str">
        <x:v>Official post-2024 authorities catalogued in MPEP Update Register</x:v>
      </x:c>
    </x:row>
    <x:row r="13">
      <x:c r="A13" s="38" t="str">
        <x:v>Disclosure-control metric</x:v>
      </x:c>
      <x:c r="B13" s="38" t="str">
        <x:v>Value</x:v>
      </x:c>
      <x:c r="C13" s="38" t="str">
        <x:v>Meaning</x:v>
      </x:c>
    </x:row>
    <x:row r="14">
      <x:c r="A14" s="26" t="str">
        <x:v>Broad Disclosure Matrix rows</x:v>
      </x:c>
      <x:c r="B14" s="26" t="n">
        <x:v>49</x:v>
      </x:c>
      <x:c r="C14" s="26" t="str">
        <x:v>Dimensions/embodiments currently catalogued</x:v>
      </x:c>
    </x:row>
    <x:row r="15">
      <x:c r="A15" s="26" t="str">
        <x:v>Claim-Spec concept rows</x:v>
      </x:c>
      <x:c r="B15" s="26" t="n">
        <x:v>17</x:v>
      </x:c>
      <x:c r="C15" s="26" t="str">
        <x:v>Broad/intermediate/narrow support mappings</x:v>
      </x:c>
    </x:row>
    <x:row r="16">
      <x:c r="A16" s="26" t="str">
        <x:v>Spec sections mapped</x:v>
      </x:c>
      <x:c r="B16" s="26" t="n">
        <x:v>20</x:v>
      </x:c>
      <x:c r="C16" s="26" t="str">
        <x:v>Number of filing-content section groups</x:v>
      </x:c>
    </x:row>
    <x:row r="17">
      <x:c r="A17" s="26" t="str">
        <x:v>AI/inventor-confirmation gate</x:v>
      </x:c>
      <x:c r="B17" s="26" t="str">
        <x:v>OPEN</x:v>
      </x:c>
      <x:c r="C17" s="26" t="str">
        <x:v>Rows marked 'Required' must be inventor-confirmed/revised/deleted</x:v>
      </x:c>
    </x:row>
    <x:row r="18">
      <x:c r="A18" s="26" t="str">
        <x:v>Post-filing invention log</x:v>
      </x:c>
      <x:c r="B18" s="26" t="str">
        <x:v>ESTABLISHED</x:v>
      </x:c>
      <x:c r="C18" s="26" t="str">
        <x:v>Use after first provisional filing for every material improvement</x:v>
      </x:c>
    </x:row>
    <x:row r="19">
      <x:c r="A19" s="51" t="str">
        <x:v>Patent drafting metric</x:v>
      </x:c>
      <x:c r="B19" s="51" t="str">
        <x:v>Value</x:v>
      </x:c>
      <x:c r="C19" s="51" t="str">
        <x:v>Meaning</x:v>
      </x:c>
    </x:row>
    <x:row r="20">
      <x:c r="A20" s="26" t="str">
        <x:v>Current spec version</x:v>
      </x:c>
      <x:c r="B20" s="26" t="str">
        <x:v>v0.4</x:v>
      </x:c>
      <x:c r="C20" s="26" t="str">
        <x:v>280 numbered paragraphs; FIG. 1-12 reference numerals audited and integrated; definitions heading restored</x:v>
      </x:c>
    </x:row>
    <x:row r="21">
      <x:c r="A21" s="26" t="str">
        <x:v>Patent figures drafted</x:v>
      </x:c>
      <x:c r="B21" s="26" t="n">
        <x:v>12</x:v>
      </x:c>
      <x:c r="C21" s="26" t="str">
        <x:v>FIGS. 1-12 line drawings created and separately packaged</x:v>
      </x:c>
    </x:row>
    <x:row r="22">
      <x:c r="A22" s="26" t="str">
        <x:v>Figure numeral entries</x:v>
      </x:c>
      <x:c r="B22" s="26" t="n">
        <x:v>111</x:v>
      </x:c>
      <x:c r="C22" s="26" t="str">
        <x:v>Audited reference-numeral entries recorded in tracker and aligned to drawing/specification</x:v>
      </x:c>
    </x:row>
    <x:row r="23">
      <x:c r="A23" s="26" t="str">
        <x:v>§112(a) focus</x:v>
      </x:c>
      <x:c r="B23" s="26" t="str">
        <x:v>OPEN</x:v>
      </x:c>
      <x:c r="C23" s="26" t="str">
        <x:v>Population logic formalized; reproductive branch strengthened; genetic/species-selective branches retain inventor-confirmation gates</x:v>
      </x:c>
    </x:row>
    <x:row r="24">
      <x:c r="A24" s="56" t="str">
        <x:v>Checkpoint metric</x:v>
      </x:c>
      <x:c r="B24" s="56" t="str">
        <x:v>Value</x:v>
      </x:c>
      <x:c r="C24" s="56" t="str">
        <x:v>Meaning</x:v>
      </x:c>
    </x:row>
    <x:row r="25">
      <x:c r="A25" s="26" t="str">
        <x:v>Patent visual QA</x:v>
      </x:c>
      <x:c r="B25" s="26" t="str">
        <x:v>PASSED</x:v>
      </x:c>
      <x:c r="C25" s="26" t="str">
        <x:v>34-page specification v0.4 and FIGS. 1-12 v0.2 visually reviewed</x:v>
      </x:c>
    </x:row>
    <x:row r="26">
      <x:c r="A26" s="26" t="str">
        <x:v>Independent-family audit</x:v>
      </x:c>
      <x:c r="B26" s="26" t="str">
        <x:v>14 families</x:v>
      </x:c>
      <x:c r="C26" s="26" t="str">
        <x:v>Family-level §112(a), figure, gap and filing-status matrix added</x:v>
      </x:c>
    </x:row>
    <x:row r="27">
      <x:c r="A27" s="26" t="str">
        <x:v>Canonical archive</x:v>
      </x:c>
      <x:c r="B27" s="26" t="str">
        <x:v>v0.5</x:v>
      </x:c>
      <x:c r="C27" s="26" t="str">
        <x:v>Fossil-free archive with latest patent, drawings, audits, questionnaire, planning controls and SHA-256 manifest</x:v>
      </x:c>
    </x:row>
    <x:row r="28">
      <x:c r="A28" s="60" t="str">
        <x:v>Audit checkpoint</x:v>
      </x:c>
      <x:c r="B28" s="60" t="str">
        <x:v>Value</x:v>
      </x:c>
      <x:c r="C28" s="60" t="str">
        <x:v>Meaning</x:v>
      </x:c>
    </x:row>
    <x:row r="29">
      <x:c r="A29" s="26" t="str">
        <x:v>Figure-to-spec audit</x:v>
      </x:c>
      <x:c r="B29" s="26" t="str">
        <x:v>PASS</x:v>
      </x:c>
      <x:c r="C29" s="26" t="str">
        <x:v>All tracked drawing numerals explicitly aligned across drawing v0.2, spec v0.4, and tracker</x:v>
      </x:c>
    </x:row>
    <x:row r="30">
      <x:c r="A30" s="26" t="str">
        <x:v>Detailed claim limitations audited</x:v>
      </x:c>
      <x:c r="B30" s="26" t="n">
        <x:v>63</x:v>
      </x:c>
      <x:c r="C30" s="26" t="str">
        <x:v>Independent claims 1,11,21,31,41,51,61,71,81,91,101,111,121,131</x:v>
      </x:c>
    </x:row>
    <x:row r="31">
      <x:c r="A31" s="26" t="str">
        <x:v>Blocking limitation rows</x:v>
      </x:c>
      <x:c r="B31" s="26" t="n">
        <x:v>11</x:v>
      </x:c>
      <x:c r="C31" s="26" t="str">
        <x:v>Concentrated in local-population, species-selective toxicant, reproductive-route, genetic, and broad target-animal branches</x:v>
      </x:c>
    </x:row>
    <x:row r="32">
      <x:c r="A32" s="26" t="str">
        <x:v>Current spec version</x:v>
      </x:c>
      <x:c r="B32" s="26" t="str">
        <x:v>v0.4</x:v>
      </x:c>
      <x:c r="C32" s="26" t="str">
        <x:v>Numeral integration corrected; definitions heading restored</x:v>
      </x:c>
    </x:row>
    <x:row r="33">
      <x:c r="A33" s="65" t="str">
        <x:v>Checkpoint</x:v>
      </x:c>
      <x:c r="B33" s="65" t="str">
        <x:v>Value</x:v>
      </x:c>
      <x:c r="C33" s="65" t="str">
        <x:v>Meaning</x:v>
      </x:c>
    </x:row>
    <x:row r="34">
      <x:c r="A34" s="26" t="str">
        <x:v>Specification</x:v>
      </x:c>
      <x:c r="B34" s="26" t="str">
        <x:v>v0.4</x:v>
      </x:c>
      <x:c r="C34" s="26" t="str">
        <x:v>34-page visually QA-passed working specification; 280 numbered paragraphs</x:v>
      </x:c>
    </x:row>
    <x:row r="35">
      <x:c r="A35" s="26" t="str">
        <x:v>Drawings</x:v>
      </x:c>
      <x:c r="B35" s="26" t="str">
        <x:v>v0.2</x:v>
      </x:c>
      <x:c r="C35" s="26" t="str">
        <x:v>FIGS. 1-12 visually QA-passed; numeral set aligned</x:v>
      </x:c>
    </x:row>
    <x:row r="36">
      <x:c r="A36" s="26" t="str">
        <x:v>Support audit</x:v>
      </x:c>
      <x:c r="B36" s="26" t="str">
        <x:v>v0.2</x:v>
      </x:c>
      <x:c r="C36" s="26" t="str">
        <x:v>63 limitation rows + 14-family summary; figure/spec audit passed</x:v>
      </x:c>
    </x:row>
    <x:row r="37">
      <x:c r="A37" s="26" t="str">
        <x:v>Inventor questionnaire</x:v>
      </x:c>
      <x:c r="B37" s="26" t="str">
        <x:v>v0.1</x:v>
      </x:c>
      <x:c r="C37" s="26" t="str">
        <x:v>Prepared and QA-passed; responses pending while prior-art work proceeds in parallel</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a48f411990f94501"/>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Not Started</x:v>
      </x:c>
      <x:c r="G5" s="26" t="str">
        <x:v>High</x:v>
      </x:c>
      <x:c r="H5" s="26" t="str">
        <x:v>1-week</x:v>
      </x:c>
      <x:c r="I5" s="26" t="str">
        <x:v>PAT-003</x:v>
      </x:c>
      <x:c r="J5" s="26" t="str">
        <x:v>Working claim architecture only; not a provisional-filing prerequisite. Draft after disclosure/prior-art work identifies useful scope.</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Not Started</x:v>
      </x:c>
      <x:c r="G6" s="26" t="str">
        <x:v>High</x:v>
      </x:c>
      <x:c r="H6" s="26" t="str">
        <x:v>1-week</x:v>
      </x:c>
      <x:c r="I6" s="26" t="str">
        <x:v>PAT-004</x:v>
      </x:c>
      <x:c r="J6" s="26" t="str">
        <x:v>Working nonprovisional/restriction-planning set; not a cap on provisional disclosure and not a filing prerequisite.</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Not Started</x:v>
      </x:c>
      <x:c r="G8" s="26" t="str">
        <x:v>Critical</x:v>
      </x:c>
      <x:c r="H8" s="26" t="str">
        <x:v>1-week</x:v>
      </x:c>
      <x:c r="I8" s="26" t="str">
        <x:v>PAT-003</x:v>
      </x:c>
      <x:c r="J8" s="26" t="str">
        <x:v>Known 112(b) risk</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Not Started</x:v>
      </x:c>
      <x:c r="G9" s="26" t="str">
        <x:v>Critical</x:v>
      </x:c>
      <x:c r="H9" s="26" t="str">
        <x:v>1-week</x:v>
      </x:c>
      <x:c r="I9" s="26" t="str">
        <x:v>PAT-003</x:v>
      </x:c>
      <x:c r="J9" s="26" t="str">
        <x:v>Blocking written-description/enablement risk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Inventor must confirm or revise the formalized rule before filing.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In Progress</x:v>
      </x:c>
      <x:c r="G61" s="26" t="str">
        <x:v>Critical</x:v>
      </x:c>
      <x:c r="H61" s="26" t="str">
        <x:v>Current</x:v>
      </x:c>
      <x:c r="I61" s="26" t="str">
        <x:v>PAT-039</x:v>
      </x:c>
      <x:c r="J61" s="26" t="str">
        <x:v>Can proceed in parallel while inventor questionnaire is pending.</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a633ef40705d45db"/>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Claim 20</x:v>
      </x:c>
      <x:c r="E3" s="26" t="str">
        <x:v>Define selectivity as delivery/access/timing or gating, not toxic selectivity; reword consistently.</x:v>
      </x:c>
      <x:c r="F3" s="26" t="str">
        <x:v>Yes</x:v>
      </x:c>
      <x:c r="G3" s="26" t="str">
        <x:v>Open</x:v>
      </x:c>
      <x:c r="H3" s="26" t="str">
        <x:v>Robert/AI</x:v>
      </x:c>
      <x:c r="I3" s="28" t="n">
        <x:v>46268</x:v>
      </x:c>
    </x:row>
    <x:row r="4">
      <x:c r="A4" s="26" t="str">
        <x:v>R-WD-ALL</x:v>
      </x:c>
      <x:c r="B4" s="26" t="str">
        <x:v>written-description gap</x:v>
      </x:c>
      <x:c r="C4" s="26" t="str">
        <x:v>'Identifying when all members are present' lacks disclosed operational criteria.</x:v>
      </x:c>
      <x:c r="D4" s="26" t="str">
        <x:v>Claim 20 / specification</x:v>
      </x:c>
      <x:c r="E4" s="26" t="str">
        <x:v>Describe population roster, unknown-member handling, identity confidence, dwell/window rules, re-entry, sensor coverage, and abort logic.</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1/20 and selective-delivery embodiments</x:v>
      </x:c>
      <x:c r="E6" s="26" t="str">
        <x:v>Trace primary source, patent families, inventors/assignees, dates, claim scope, and combine with sounder-completeness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 20</x:v>
      </x:c>
      <x:c r="E7" s="26" t="str">
        <x:v>Search trap-control patents/literature for remote gates, camera counting, sounder recognition, wait-for-all rules.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Set 1</x:v>
      </x:c>
      <x:c r="E8" s="26" t="str">
        <x:v>Draft shared technical core and dependency ladder; maintain restriction hedge but do not assume examiner grouping.</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mid-scope independent</x:v>
      </x:c>
      <x:c r="E12" s="26" t="str">
        <x:v>Prepare element-by-element claim chart; identify technical distinctions before further broad-claim refinement.</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 1; mid-scope independent; Claim 20</x:v>
      </x:c>
      <x:c r="E13" s="26" t="str">
        <x:v>Claim-chart claims 1, 7-13, 17-18 and feral-swine embodiments; search family/citations in USPTO Patent Public Search.</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 20 and dependent-claim space</x:v>
      </x:c>
      <x:c r="E14" s="26" t="str">
        <x:v>Claim-chart feeder gating, species selectivity, poison administration, and population-control disclosures; search continuations/citations.</x:v>
      </x:c>
      <x:c r="F14" s="26" t="str">
        <x:v>Yes</x:v>
      </x:c>
      <x:c r="G14" s="26" t="str">
        <x:v>Open</x:v>
      </x:c>
      <x:c r="H14" s="26" t="str">
        <x:v>Robert / patent counsel</x:v>
      </x:c>
      <x:c r="I14" s="28" t="n">
        <x:v>46268</x:v>
      </x:c>
      <x:c r="J14" s="28"/>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461f68058b3f471a"/>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sheetData>
  <x:pageMargins left="0.7" right="0.7" top="0.75" bottom="0.75" header="0.3" footer="0.3"/>
  <x:tableParts count="1">
    <x:tablePart xmlns:r="http://schemas.openxmlformats.org/officeDocument/2006/relationships" r:id="R9539fb5e50434319"/>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9ddf841d07534ae0"/>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de47831ab4164927"/>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sheetData>
  <x:pageMargins left="0.7" right="0.7" top="0.75" bottom="0.75" header="0.3" footer="0.3"/>
</x:worksheet>
</file>