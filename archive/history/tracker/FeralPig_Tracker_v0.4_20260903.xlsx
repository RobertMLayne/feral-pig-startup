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ad872610e249d3" /></Relationships>
</file>

<file path=xl/workbook.xml><?xml version="1.0" encoding="utf-8"?>
<x:workbook xmlns:x="http://schemas.openxmlformats.org/spreadsheetml/2006/main">
  <x:sheets>
    <x:sheet xmlns:r="http://schemas.openxmlformats.org/officeDocument/2006/relationships" name="Dashboard" sheetId="1" r:id="R4e99ead5fc934625"/>
    <x:sheet xmlns:r="http://schemas.openxmlformats.org/officeDocument/2006/relationships" name="Claim Inventory" sheetId="2" r:id="R295a9f723a8343a1"/>
    <x:sheet xmlns:r="http://schemas.openxmlformats.org/officeDocument/2006/relationships" name="Task Register" sheetId="3" r:id="R4fbe05b29d494d56"/>
    <x:sheet xmlns:r="http://schemas.openxmlformats.org/officeDocument/2006/relationships" name="Risk Register" sheetId="4" r:id="R16ce41ad07e04e47"/>
    <x:sheet xmlns:r="http://schemas.openxmlformats.org/officeDocument/2006/relationships" name="Source Inventory" sheetId="5" r:id="Rbacad7d21e37491b"/>
    <x:sheet xmlns:r="http://schemas.openxmlformats.org/officeDocument/2006/relationships" name="MPEP Update Register" sheetId="6" r:id="Rc957344bc47d4124"/>
    <x:sheet xmlns:r="http://schemas.openxmlformats.org/officeDocument/2006/relationships" name="Business Skeleton" sheetId="7" r:id="R105e94a8228e46a4"/>
    <x:sheet xmlns:r="http://schemas.openxmlformats.org/officeDocument/2006/relationships" name="Decision Log" sheetId="8" r:id="R2ba2f2a1b1da45d1"/>
    <x:sheet xmlns:r="http://schemas.openxmlformats.org/officeDocument/2006/relationships" name="Broad Disclosure Matrix" sheetId="9" r:id="R2cecd22e458d4263"/>
    <x:sheet xmlns:r="http://schemas.openxmlformats.org/officeDocument/2006/relationships" name="Claim-Spec Support" sheetId="10" r:id="R8707cc26547543e0"/>
    <x:sheet xmlns:r="http://schemas.openxmlformats.org/officeDocument/2006/relationships" name="Spec Section Map" sheetId="11" r:id="R0472c0a22d07433f"/>
    <x:sheet xmlns:r="http://schemas.openxmlformats.org/officeDocument/2006/relationships" name="Post-Filing Invention Log" sheetId="12" r:id="R0797c19372774337"/>
    <x:sheet xmlns:r="http://schemas.openxmlformats.org/officeDocument/2006/relationships" name="Supplemental Prov Eval" sheetId="13" r:id="R6cae5b4ad51b4e6f"/>
    <x:sheet xmlns:r="http://schemas.openxmlformats.org/officeDocument/2006/relationships" name="Figure Numerals" sheetId="14" r:id="R6cd77339a9c549e3"/>
    <x:sheet xmlns:r="http://schemas.openxmlformats.org/officeDocument/2006/relationships" name="Independent Family Audit" sheetId="15" r:id="R07f876cff471424f"/>
    <x:sheet xmlns:r="http://schemas.openxmlformats.org/officeDocument/2006/relationships" name="Figure-Spec Audit" sheetId="16" r:id="R9a5269bb9cf142db"/>
    <x:sheet xmlns:r="http://schemas.openxmlformats.org/officeDocument/2006/relationships" name="Detailed Claim-Spec Audit" sheetId="17" r:id="Rde23299fe08f4b89"/>
    <x:sheet xmlns:r="http://schemas.openxmlformats.org/officeDocument/2006/relationships" name="Naming Audit" sheetId="18" r:id="Rf3da6f056eab4372"/>
    <x:sheet xmlns:r="http://schemas.openxmlformats.org/officeDocument/2006/relationships" name="Prior Art Claim Chart" sheetId="19" r:id="R9bf079a41c4940e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6"/>
      <x:color rgb="FFFFFFFF"/>
      <x:name val="Carlito"/>
    </x:font>
    <x:font>
      <x:i/>
      <x:sz val="11"/>
      <x:name val="Carlito"/>
    </x:font>
    <x:font>
      <x:b/>
      <x:sz val="11"/>
      <x:color rgb="FFFFFFFF"/>
      <x:name val="Carlito"/>
    </x:font>
    <x:font>
      <x:b/>
      <x:sz val="11"/>
      <x:name val="Carlito"/>
    </x:font>
    <x:font>
      <x:b/>
      <x:sz val="11"/>
      <x:color rgb="FF1F2937"/>
      <x:name val="Carlito"/>
    </x:font>
  </x:fonts>
  <x:fills count="14">
    <x:fill>
      <x:patternFill patternType="none"/>
    </x:fill>
    <x:fill>
      <x:patternFill patternType="gray125"/>
    </x:fill>
    <x:fill>
      <x:patternFill patternType="solid">
        <x:fgColor rgb="FF0F243E"/>
      </x:patternFill>
    </x:fill>
    <x:fill>
      <x:patternFill patternType="solid">
        <x:fgColor rgb="FFD9EAF7"/>
      </x:patternFill>
    </x:fill>
    <x:fill>
      <x:patternFill patternType="solid">
        <x:fgColor rgb="FF1F4E78"/>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1F4E78"/>
      </x:patternFill>
    </x:fill>
  </x:fills>
  <x:borders count="2">
    <x:border/>
    <x:border/>
  </x:borders>
  <x:cellStyleXfs count="1">
    <x:xf numFmtId="0" fontId="0" fillId="0" borderId="0"/>
  </x:cellStyleXfs>
  <x:cellXfs count="7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xf numFmtId="200" fontId="0" fillId="0" borderId="0" xfId="0" applyNumberFormat="1" applyFont="1" applyFill="1" applyBorder="1"/>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0"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5" fillId="7" borderId="0" xfId="0" applyNumberFormat="1" applyFont="1" applyFill="1" applyBorder="1" applyAlignment="1">
      <x:alignment horizontal="center" vertical="center" wrapText="1"/>
    </x:xf>
    <x:xf numFmtId="0" fontId="3" fillId="5" borderId="0"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horizontal="center" wrapText="1"/>
    </x:xf>
    <x:xf numFmtId="0" fontId="5" fillId="8" borderId="0" xfId="0" applyNumberFormat="1" applyFont="1" applyFill="1" applyBorder="1" applyAlignment="1">
      <x:alignment horizontal="center"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horizontal="center"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5" fillId="10" borderId="0" xfId="0" applyNumberFormat="1" applyFont="1" applyFill="1" applyBorder="1" applyAlignment="1">
      <x:alignment horizontal="center" wrapText="1"/>
    </x:xf>
    <x:xf numFmtId="0" fontId="5" fillId="10" borderId="0" xfId="0" applyNumberFormat="1" applyFont="1" applyFill="1" applyBorder="1" applyAlignment="1">
      <x:alignment horizontal="center" vertical="center"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wrapText="1"/>
    </x:xf>
    <x:xf numFmtId="0" fontId="5" fillId="12"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cellXfs>
  <x:cellStyles count="1">
    <x:cellStyle name="Normal" xfId="0"/>
  </x:cellStyles>
  <x:dxfs count="6">
    <x:dxf>
      <x:fill>
        <x:patternFill>
          <x:bgColor rgb="FFC6EFCE"/>
        </x:patternFill>
      </x:fill>
    </x:dxf>
    <x:dxf>
      <x:fill>
        <x:patternFill>
          <x:bgColor rgb="FFFFF2CC"/>
        </x:patternFill>
      </x:fill>
    </x:dxf>
    <x:dxf>
      <x:fill>
        <x:patternFill>
          <x:bgColor rgb="FFC6EFCE"/>
        </x:patternFill>
      </x:fill>
    </x:dxf>
    <x:dxf>
      <x:fill>
        <x:patternFill>
          <x:bgColor rgb="FFF4CCCC"/>
        </x:patternFill>
      </x:fill>
    </x:dxf>
    <x:dxf>
      <x:fill>
        <x:patternFill>
          <x:bgColor rgb="FFF4CCCC"/>
        </x:patternFill>
      </x:fill>
    </x:dxf>
    <x:dxf>
      <x:fill>
        <x:patternFill>
          <x:bgColor rgb="FFC6EF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ff175e85989499b" /><Relationship Type="http://schemas.openxmlformats.org/officeDocument/2006/relationships/theme" Target="/xl/theme/theme1.xml" Id="Ra5ff7bb295f743de" /><Relationship Type="http://schemas.openxmlformats.org/officeDocument/2006/relationships/sharedStrings" Target="/xl/sharedStrings.xml" Id="Rcaef5c039596487c" /><Relationship Type="http://schemas.openxmlformats.org/officeDocument/2006/relationships/worksheet" Target="/xl/worksheets/sheet1.xml" Id="R4e99ead5fc934625" /><Relationship Type="http://schemas.openxmlformats.org/officeDocument/2006/relationships/worksheet" Target="/xl/worksheets/sheet2.xml" Id="R295a9f723a8343a1" /><Relationship Type="http://schemas.openxmlformats.org/officeDocument/2006/relationships/worksheet" Target="/xl/worksheets/sheet3.xml" Id="R4fbe05b29d494d56" /><Relationship Type="http://schemas.openxmlformats.org/officeDocument/2006/relationships/worksheet" Target="/xl/worksheets/sheet4.xml" Id="R16ce41ad07e04e47" /><Relationship Type="http://schemas.openxmlformats.org/officeDocument/2006/relationships/worksheet" Target="/xl/worksheets/sheet5.xml" Id="Rbacad7d21e37491b" /><Relationship Type="http://schemas.openxmlformats.org/officeDocument/2006/relationships/worksheet" Target="/xl/worksheets/sheet6.xml" Id="Rc957344bc47d4124" /><Relationship Type="http://schemas.openxmlformats.org/officeDocument/2006/relationships/worksheet" Target="/xl/worksheets/sheet7.xml" Id="R105e94a8228e46a4" /><Relationship Type="http://schemas.openxmlformats.org/officeDocument/2006/relationships/worksheet" Target="/xl/worksheets/sheet8.xml" Id="R2ba2f2a1b1da45d1" /><Relationship Type="http://schemas.openxmlformats.org/officeDocument/2006/relationships/worksheet" Target="/xl/worksheets/sheet9.xml" Id="R2cecd22e458d4263" /><Relationship Type="http://schemas.openxmlformats.org/officeDocument/2006/relationships/worksheet" Target="/xl/worksheets/sheet10.xml" Id="R8707cc26547543e0" /><Relationship Type="http://schemas.openxmlformats.org/officeDocument/2006/relationships/worksheet" Target="/xl/worksheets/sheet11.xml" Id="R0472c0a22d07433f" /><Relationship Type="http://schemas.openxmlformats.org/officeDocument/2006/relationships/worksheet" Target="/xl/worksheets/sheet12.xml" Id="R0797c19372774337" /><Relationship Type="http://schemas.openxmlformats.org/officeDocument/2006/relationships/worksheet" Target="/xl/worksheets/sheet13.xml" Id="R6cae5b4ad51b4e6f" /><Relationship Type="http://schemas.openxmlformats.org/officeDocument/2006/relationships/worksheet" Target="/xl/worksheets/sheet14.xml" Id="R6cd77339a9c549e3" /><Relationship Type="http://schemas.openxmlformats.org/officeDocument/2006/relationships/worksheet" Target="/xl/worksheets/sheet15.xml" Id="R07f876cff471424f" /><Relationship Type="http://schemas.openxmlformats.org/officeDocument/2006/relationships/worksheet" Target="/xl/worksheets/sheet16.xml" Id="R9a5269bb9cf142db" /><Relationship Type="http://schemas.openxmlformats.org/officeDocument/2006/relationships/worksheet" Target="/xl/worksheets/sheet17.xml" Id="Rde23299fe08f4b89" /><Relationship Type="http://schemas.openxmlformats.org/officeDocument/2006/relationships/worksheet" Target="/xl/worksheets/sheet18.xml" Id="Rf3da6f056eab4372" /><Relationship Type="http://schemas.openxmlformats.org/officeDocument/2006/relationships/worksheet" Target="/xl/worksheets/sheet19.xml" Id="R9bf079a41c4940e1" /></Relationships>
</file>

<file path=xl/tables/table1.xml><?xml version="1.0" encoding="utf-8"?>
<x:table xmlns:x="http://schemas.openxmlformats.org/spreadsheetml/2006/main" id="1" name="ClaimInventoryTable" displayName="ClaimInventoryTable" ref="A1:I21" headerRowCount="1" totalsRowCount="0" totalsRowShown="0">
  <x:tableColumns count="9">
    <x:tableColumn id="1" name="claim #"/>
    <x:tableColumn id="2" name="set #"/>
    <x:tableColumn id="3" name="independent/dependent"/>
    <x:tableColumn id="4" name="parent claim"/>
    <x:tableColumn id="5" name="scope summary"/>
    <x:tableColumn id="6" name="full claim language"/>
    <x:tableColumn id="7" name="status"/>
    <x:tableColumn id="8" name="risk flags"/>
    <x:tableColumn id="9" name="last-updated date"/>
  </x:tableColumns>
  <x:tableStyleInfo name="TableStyleMedium2" showFirstColumn="0" showLastColumn="0" showRowStripes="1" showColumnStripes="0"/>
</x:table>
</file>

<file path=xl/tables/table2.xml><?xml version="1.0" encoding="utf-8"?>
<x:table xmlns:x="http://schemas.openxmlformats.org/spreadsheetml/2006/main" id="2" name="TaskRegisterTable" displayName="TaskRegisterTable" ref="A1:K28" headerRowCount="1" totalsRowCount="0" totalsRowShown="0">
  <x:tableColumns count="11">
    <x:tableColumn id="1" name="ID"/>
    <x:tableColumn id="2" name="Workstream"/>
    <x:tableColumn id="3" name="Task"/>
    <x:tableColumn id="4" name="Deliverable / acceptance criterion"/>
    <x:tableColumn id="5" name="Owner"/>
    <x:tableColumn id="6" name="Status"/>
    <x:tableColumn id="7" name="Priority"/>
    <x:tableColumn id="8" name="Horizon"/>
    <x:tableColumn id="9" name="Dependency"/>
    <x:tableColumn id="10" name="Risk / note"/>
    <x:tableColumn id="11" name="Last updated"/>
  </x:tableColumns>
  <x:tableStyleInfo name="TableStyleMedium2" showFirstColumn="0" showLastColumn="0" showRowStripes="1" showColumnStripes="0"/>
</x:table>
</file>

<file path=xl/tables/table3.xml><?xml version="1.0" encoding="utf-8"?>
<x:table xmlns:x="http://schemas.openxmlformats.org/spreadsheetml/2006/main" id="3" name="RiskRegisterTable" displayName="RiskRegisterTable" ref="A1:I11" headerRowCount="1" totalsRowCount="0" totalsRowShown="0">
  <x:tableColumns count="9">
    <x:tableColumn id="1" name="Risk ID"/>
    <x:tableColumn id="2" name="Category"/>
    <x:tableColumn id="3" name="Description"/>
    <x:tableColumn id="4" name="Affected artifact/claim"/>
    <x:tableColumn id="5" name="Mitigation / evidence needed"/>
    <x:tableColumn id="6" name="Blocking"/>
    <x:tableColumn id="7" name="Status"/>
    <x:tableColumn id="8" name="Owner"/>
    <x:tableColumn id="9" name="Last updated"/>
  </x:tableColumns>
  <x:tableStyleInfo name="TableStyleMedium2" showFirstColumn="0" showLastColumn="0" showRowStripes="1" showColumnStripes="0"/>
</x:table>
</file>

<file path=xl/tables/table4.xml><?xml version="1.0" encoding="utf-8"?>
<x:table xmlns:x="http://schemas.openxmlformats.org/spreadsheetml/2006/main" id="4" name="SourceInventoryTable" displayName="SourceInventoryTable" ref="A1:I8" headerRowCount="1" totalsRowCount="0" totalsRowShown="0">
  <x:tableColumns count="9">
    <x:tableColumn id="1" name="Source ID"/>
    <x:tableColumn id="2" name="Type"/>
    <x:tableColumn id="3" name="Title / description"/>
    <x:tableColumn id="4" name="Date"/>
    <x:tableColumn id="5" name="Primary/secondary"/>
    <x:tableColumn id="6" name="Key relevance"/>
    <x:tableColumn id="7" name="Action"/>
    <x:tableColumn id="8" name="Status"/>
    <x:tableColumn id="9" name="Source / path"/>
  </x:tableColumns>
  <x:tableStyleInfo name="TableStyleMedium2" showFirstColumn="0" showLastColumn="0" showRowStripes="1" showColumnStripes="0"/>
</x:table>
</file>

<file path=xl/tables/table5.xml><?xml version="1.0" encoding="utf-8"?>
<x:table xmlns:x="http://schemas.openxmlformats.org/spreadsheetml/2006/main" id="5" name="MPEPUpdateTable" displayName="MPEPUpdateTable" ref="A1:H30" headerRowCount="1" totalsRowCount="0" totalsRowShown="0">
  <x:tableColumns count="8">
    <x:tableColumn id="1" name="Date"/>
    <x:tableColumn id="2" name="Category"/>
    <x:tableColumn id="3" name="Authority / title"/>
    <x:tableColumn id="4" name="Citation / type"/>
    <x:tableColumn id="5" name="Effective / applicable"/>
    <x:tableColumn id="6" name="Status relative to MPEP"/>
    <x:tableColumn id="7" name="Project relevance"/>
    <x:tableColumn id="8" name="Official source"/>
  </x:tableColumns>
  <x:tableStyleInfo name="TableStyleMedium2" showFirstColumn="0" showLastColumn="0" showRowStripes="1" showColumnStripes="0"/>
</x:table>
</file>

<file path=xl/tables/table6.xml><?xml version="1.0" encoding="utf-8"?>
<x:table xmlns:x="http://schemas.openxmlformats.org/spreadsheetml/2006/main" id="6" name="BusinessSkeletonTable" displayName="BusinessSkeletonTable" ref="A1:E11" headerRowCount="1" totalsRowCount="0" totalsRowShown="0">
  <x:tableColumns count="5">
    <x:tableColumn id="1" name="Block"/>
    <x:tableColumn id="2" name="Questions to resolve"/>
    <x:tableColumn id="3" name="Evidence / output"/>
    <x:tableColumn id="4" name="Status"/>
    <x:tableColumn id="5" name="Dependenc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276f855c2ce4236" /></Relationships>
</file>

<file path=xl/worksheets/_rels/sheet3.xml.rels>&#65279;<?xml version="1.0" encoding="utf-8"?><Relationships xmlns="http://schemas.openxmlformats.org/package/2006/relationships"><Relationship Type="http://schemas.openxmlformats.org/officeDocument/2006/relationships/table" Target="/xl/tables/table2.xml" Id="R57ae5d8ff87f4555" /></Relationships>
</file>

<file path=xl/worksheets/_rels/sheet4.xml.rels>&#65279;<?xml version="1.0" encoding="utf-8"?><Relationships xmlns="http://schemas.openxmlformats.org/package/2006/relationships"><Relationship Type="http://schemas.openxmlformats.org/officeDocument/2006/relationships/table" Target="/xl/tables/table3.xml" Id="Ra4168c67f2544b61" /></Relationships>
</file>

<file path=xl/worksheets/_rels/sheet5.xml.rels>&#65279;<?xml version="1.0" encoding="utf-8"?><Relationships xmlns="http://schemas.openxmlformats.org/package/2006/relationships"><Relationship Type="http://schemas.openxmlformats.org/officeDocument/2006/relationships/table" Target="/xl/tables/table4.xml" Id="R101fa275783f420a" /></Relationships>
</file>

<file path=xl/worksheets/_rels/sheet6.xml.rels>&#65279;<?xml version="1.0" encoding="utf-8"?><Relationships xmlns="http://schemas.openxmlformats.org/package/2006/relationships"><Relationship Type="http://schemas.openxmlformats.org/officeDocument/2006/relationships/table" Target="/xl/tables/table5.xml" Id="R4fd8c63ac9fd43cf" /></Relationships>
</file>

<file path=xl/worksheets/_rels/sheet7.xml.rels>&#65279;<?xml version="1.0" encoding="utf-8"?><Relationships xmlns="http://schemas.openxmlformats.org/package/2006/relationships"><Relationship Type="http://schemas.openxmlformats.org/officeDocument/2006/relationships/table" Target="/xl/tables/table6.xml" Id="R55fbb742b1104dfb" /></Relationships>
</file>

<file path=xl/worksheets/sheet1.xml><?xml version="1.0" encoding="utf-8"?>
<x:worksheet xmlns:x="http://schemas.openxmlformats.org/spreadsheetml/2006/main">
  <x:sheetFormatPr defaultRowHeight="15"/>
  <x:cols>
    <x:col min="1" max="1" width="34" hidden="0" customWidth="1"/>
    <x:col min="2" max="2" width="16" hidden="0" customWidth="1"/>
    <x:col min="3" max="3" width="54" hidden="0" customWidth="1"/>
    <x:col min="5" max="5" width="25" hidden="0" customWidth="1"/>
    <x:col min="6" max="6" width="14" hidden="0" customWidth="1"/>
    <x:col min="7" max="7" width="45" hidden="0" customWidth="1"/>
    <x:col min="8" max="8" width="48" hidden="0" customWidth="1"/>
  </x:cols>
  <x:sheetData>
    <x:row r="1">
      <x:c r="A1" s="5" t="str">
        <x:v>Feral Pig / Pest-Control Patent &amp; Business Buildout</x:v>
      </x:c>
      <x:c r="B1" s="5"/>
      <x:c r="C1" s="5"/>
      <x:c r="D1" s="5"/>
      <x:c r="E1" s="5"/>
      <x:c r="F1" s="5"/>
      <x:c r="G1" s="5"/>
      <x:c r="H1" s="5"/>
    </x:row>
    <x:row r="2">
      <x:c r="A2" s="12" t="str">
        <x:v>Project control baseline - 2026-09-03</x:v>
      </x:c>
      <x:c r="B2" s="12"/>
      <x:c r="C2" s="12"/>
      <x:c r="D2" s="12"/>
      <x:c r="E2" s="12"/>
      <x:c r="F2" s="12"/>
      <x:c r="G2" s="12"/>
      <x:c r="H2" s="12"/>
    </x:row>
    <x:row r="4">
      <x:c r="A4" s="20" t="str">
        <x:v>Metric</x:v>
      </x:c>
      <x:c r="B4" s="20" t="str">
        <x:v>Value</x:v>
      </x:c>
      <x:c r="C4" s="20" t="str">
        <x:v>Definition / gate</x:v>
      </x:c>
      <x:c r="E4" s="20" t="str">
        <x:v>Current Gate</x:v>
      </x:c>
      <x:c r="F4" s="20" t="str">
        <x:v>State</x:v>
      </x:c>
      <x:c r="G4" s="20" t="str">
        <x:v>Reason</x:v>
      </x:c>
      <x:c r="H4" s="20" t="str">
        <x:v>Required next evidence</x:v>
      </x:c>
    </x:row>
    <x:row r="5">
      <x:c r="A5" s="26" t="str">
        <x:v>Provisional exemplary claims drafted</x:v>
      </x:c>
      <x:c r="B5" s="26" t="n">
        <x:v>145</x:v>
      </x:c>
      <x:c r="C5" s="26" t="str">
        <x:v>Current drafted claim universe; intentionally overcomplete and not a ceiling</x:v>
      </x:c>
      <x:c r="D5" s="26"/>
      <x:c r="E5" s="26" t="str">
        <x:v>Provisional filing</x:v>
      </x:c>
      <x:c r="F5" s="26" t="str">
        <x:v>NOT READY</x:v>
      </x:c>
      <x:c r="G5" s="26" t="str">
        <x:v>Claims are intentionally overcomplete; filing gate is enabling technical disclosure and drawings</x:v>
      </x:c>
      <x:c r="H5" s="26" t="str">
        <x:v>Complete §112(a) support + drawings + inventorship/disclosure-control + attorney review</x:v>
      </x:c>
    </x:row>
    <x:row r="6">
      <x:c r="A6" s="26" t="str">
        <x:v>Independent claim families drafted</x:v>
      </x:c>
      <x:c r="B6" s="26" t="n">
        <x:v>15</x:v>
      </x:c>
      <x:c r="C6" s="26" t="str">
        <x:v>15 independent families including focused versioned longitudinal-completeness family</x:v>
      </x:c>
      <x:c r="D6" s="26"/>
      <x:c r="E6" s="26" t="str">
        <x:v>Claim pruning</x:v>
      </x:c>
      <x:c r="F6" s="26" t="str">
        <x:v>DEFERRED</x:v>
      </x:c>
      <x:c r="G6" s="26" t="str">
        <x:v>Pruning is a nonprovisional conversion/prosecution decision, not a provisional drafting objective</x:v>
      </x:c>
      <x:c r="H6" s="26" t="str">
        <x:v>Revisit approximately month 10 after filing</x:v>
      </x:c>
    </x:row>
    <x:row r="7">
      <x:c r="A7" s="26" t="str">
        <x:v>Dependent claims drafted</x:v>
      </x:c>
      <x:c r="B7" s="26" t="n">
        <x:v>130</x:v>
      </x:c>
      <x:c r="C7" s="26" t="str">
        <x:v>Singly dependent working claims for conversion/support analysis</x:v>
      </x:c>
      <x:c r="D7" s="26"/>
      <x:c r="E7" s="26" t="str">
        <x:v>Technical disclosure</x:v>
      </x:c>
      <x:c r="F7" s="26" t="str">
        <x:v>CRITICAL PATH</x:v>
      </x:c>
      <x:c r="G7" s="26" t="str">
        <x:v>Later conversion should require claim selection, not addition of missing embodiments</x:v>
      </x:c>
      <x:c r="H7" s="26" t="str">
        <x:v>Expand representative embodiments and implementation detail for every important claim family</x:v>
      </x:c>
    </x:row>
    <x:row r="8">
      <x:c r="A8" s="26" t="str">
        <x:v>Claim-universe ceiling</x:v>
      </x:c>
      <x:c r="B8" s="26" t="str">
        <x:v>NONE</x:v>
      </x:c>
      <x:c r="C8" s="26" t="str">
        <x:v>Additional claims and combinations may be added whenever supported by the disclosure</x:v>
      </x:c>
      <x:c r="D8" s="26"/>
      <x:c r="E8" s="26" t="str">
        <x:v>External disclosure</x:v>
      </x:c>
      <x:c r="F8" s="26" t="str">
        <x:v>LOCKED</x:v>
      </x:c>
      <x:c r="G8" s="26" t="str">
        <x:v>Public-disclosure/IP risk remains</x:v>
      </x:c>
      <x:c r="H8" s="26" t="str">
        <x:v>NDA or filing first</x:v>
      </x:c>
    </x:row>
    <x:row r="9">
      <x:c r="A9" s="26" t="str">
        <x:v>Blocking risks open</x:v>
      </x:c>
      <x:c r="B9" s="26" t="n">
        <x:v>10</x:v>
      </x:c>
      <x:c r="C9" s="26" t="str">
        <x:v>Any blocking risk register row marked Yes and Status != Resolved</x:v>
      </x:c>
      <x:c r="D9" s="26"/>
      <x:c r="E9" s="26" t="str">
        <x:v>Pilot deployment</x:v>
      </x:c>
      <x:c r="F9" s="26" t="str">
        <x:v>NOT READY</x:v>
      </x:c>
      <x:c r="G9" s="26" t="str">
        <x:v>PAT-042 charting</x:v>
      </x:c>
      <x:c r="H9" s="26" t="str">
        <x:v>Claims 1, 11, 21, 121, and 136 limitation-level charted; remaining independent families pending</x:v>
      </x:c>
    </x:row>
    <x:row r="10">
      <x:c r="A10" s="26" t="str">
        <x:v>Conversion strategy checkpoint</x:v>
      </x:c>
      <x:c r="B10" s="26" t="str">
        <x:v>≈ month 10 after filing</x:v>
      </x:c>
      <x:c r="C10" s="26" t="str">
        <x:v>Prune, consolidate, and fee-optimize claims for nonprovisional; do not defer technical disclosure</x:v>
      </x:c>
      <x:c r="D10" s="26"/>
      <x:c r="E10" s="26" t="str">
        <x:v>Prior-art confidence</x:v>
      </x:c>
      <x:c r="F10" s="26" t="str">
        <x:v>LOW</x:v>
      </x:c>
      <x:c r="G10" s="26" t="str">
        <x:v>Naming audit</x:v>
      </x:c>
      <x:c r="H10" s="26" t="str">
        <x:v>Core, history, duplicates, generated-export, working, staging and derivative-control artifacts normalized/audited; documented exceptions apply</x:v>
      </x:c>
    </x:row>
    <x:row r="11">
      <x:c r="A11" t="str">
        <x:v>MPEP update authorities indexed</x:v>
      </x:c>
      <x:c r="B11" t="n">
        <x:f>COUNTA('MPEP Update Register'!A2:A100)</x:f>
        <x:v>29</x:v>
      </x:c>
      <x:c r="C11" t="str">
        <x:v>Official post-2024 authorities catalogued in MPEP Update Register</x:v>
      </x:c>
    </x:row>
    <x:row r="13">
      <x:c r="A13" s="38" t="str">
        <x:v>Disclosure-control metric</x:v>
      </x:c>
      <x:c r="B13" s="38" t="str">
        <x:v>Value</x:v>
      </x:c>
      <x:c r="C13" s="38" t="str">
        <x:v>Meaning</x:v>
      </x:c>
    </x:row>
    <x:row r="14">
      <x:c r="A14" s="26" t="str">
        <x:v>Broad Disclosure Matrix rows</x:v>
      </x:c>
      <x:c r="B14" s="26" t="n">
        <x:v>49</x:v>
      </x:c>
      <x:c r="C14" s="26" t="str">
        <x:v>Dimensions/embodiments currently catalogued</x:v>
      </x:c>
    </x:row>
    <x:row r="15">
      <x:c r="A15" s="26" t="str">
        <x:v>Claim-Spec concept rows</x:v>
      </x:c>
      <x:c r="B15" s="26" t="n">
        <x:v>17</x:v>
      </x:c>
      <x:c r="C15" s="26" t="str">
        <x:v>Broad/intermediate/narrow support mappings</x:v>
      </x:c>
    </x:row>
    <x:row r="16">
      <x:c r="A16" s="26" t="str">
        <x:v>Spec sections mapped</x:v>
      </x:c>
      <x:c r="B16" s="26" t="n">
        <x:v>20</x:v>
      </x:c>
      <x:c r="C16" s="26" t="str">
        <x:v>Number of filing-content section groups</x:v>
      </x:c>
    </x:row>
    <x:row r="17">
      <x:c r="A17" s="26" t="str">
        <x:v>AI/inventor-confirmation gate</x:v>
      </x:c>
      <x:c r="B17" s="26" t="str">
        <x:v>OPEN</x:v>
      </x:c>
      <x:c r="C17" s="26" t="str">
        <x:v>Rows marked 'Required' must be inventor-confirmed/revised/deleted</x:v>
      </x:c>
    </x:row>
    <x:row r="18">
      <x:c r="A18" s="26" t="str">
        <x:v>Post-filing invention log</x:v>
      </x:c>
      <x:c r="B18" s="26" t="str">
        <x:v>ESTABLISHED</x:v>
      </x:c>
      <x:c r="C18" s="26" t="str">
        <x:v>Use after first provisional filing for every material improvement</x:v>
      </x:c>
    </x:row>
    <x:row r="19">
      <x:c r="A19" s="51" t="str">
        <x:v>Patent drafting metric</x:v>
      </x:c>
      <x:c r="B19" s="51" t="str">
        <x:v>Value</x:v>
      </x:c>
      <x:c r="C19" s="51" t="str">
        <x:v>Meaning</x:v>
      </x:c>
    </x:row>
    <x:row r="20">
      <x:c r="A20" s="26" t="str">
        <x:v>Current spec version</x:v>
      </x:c>
      <x:c r="B20" s="26" t="str">
        <x:v>v0.5</x:v>
      </x:c>
      <x:c r="C20" s="26" t="str">
        <x:v>296 numbered paragraphs; longitudinal population-membership/completeness and version-bound authorization expanded</x:v>
      </x:c>
    </x:row>
    <x:row r="21">
      <x:c r="A21" s="26" t="str">
        <x:v>Patent figures drafted</x:v>
      </x:c>
      <x:c r="B21" s="26" t="n">
        <x:v>12</x:v>
      </x:c>
      <x:c r="C21" s="26" t="str">
        <x:v>FIGS. 1-12 remain current; no new figure required for this text-only support expansion</x:v>
      </x:c>
    </x:row>
    <x:row r="22">
      <x:c r="A22" s="26" t="str">
        <x:v>Figure numeral entries</x:v>
      </x:c>
      <x:c r="B22" s="26" t="n">
        <x:v>111</x:v>
      </x:c>
      <x:c r="C22" s="26" t="str">
        <x:v>Audited reference-numeral entries remain current; new section uses existing FIGS. 4-8 and 11</x:v>
      </x:c>
    </x:row>
    <x:row r="23">
      <x:c r="A23" s="26" t="str">
        <x:v>§112(a) focus</x:v>
      </x:c>
      <x:c r="B23" s="26" t="str">
        <x:v>OPEN</x:v>
      </x:c>
      <x:c r="C23" s="26" t="str">
        <x:v>Population-completeness technical support strengthened; inventor confirmation remains blocking for formalized algorithm details and other previously flagged branches</x:v>
      </x:c>
    </x:row>
    <x:row r="24">
      <x:c r="A24" s="56" t="str">
        <x:v>Checkpoint metric</x:v>
      </x:c>
      <x:c r="B24" s="56" t="str">
        <x:v>Value</x:v>
      </x:c>
      <x:c r="C24" s="56" t="str">
        <x:v>Meaning</x:v>
      </x:c>
    </x:row>
    <x:row r="25">
      <x:c r="A25" s="26" t="str">
        <x:v>Patent visual QA</x:v>
      </x:c>
      <x:c r="B25" s="26" t="str">
        <x:v>PASSED</x:v>
      </x:c>
      <x:c r="C25" s="26" t="str">
        <x:v>37-page specification v0.5 and 11-page claims v0.5 visually reviewed; FIGS. 1-12 v0.2 remain current</x:v>
      </x:c>
    </x:row>
    <x:row r="26">
      <x:c r="A26" s="26" t="str">
        <x:v>Independent-family audit</x:v>
      </x:c>
      <x:c r="B26" s="26" t="str">
        <x:v>15 families</x:v>
      </x:c>
      <x:c r="C26" s="26" t="str">
        <x:v>Family-level §112(a), figure, gap and filing-status matrix includes focused Claim 136 family</x:v>
      </x:c>
    </x:row>
    <x:row r="27">
      <x:c r="A27" s="26" t="str">
        <x:v>Canonical archive</x:v>
      </x:c>
      <x:c r="B27" s="26" t="str">
        <x:v>v0.7</x:v>
      </x:c>
      <x:c r="C27" s="26" t="str">
        <x:v>Next clean canonical archive should include specification v0.5, claims v0.5, tracker v0.4, support audit v0.3, figures v0.2, and manifest v0.4</x:v>
      </x:c>
    </x:row>
    <x:row r="28">
      <x:c r="A28" s="66" t="str">
        <x:v>Audit checkpoint</x:v>
      </x:c>
      <x:c r="B28" s="66" t="str">
        <x:v>Value</x:v>
      </x:c>
      <x:c r="C28" s="66" t="str">
        <x:v>Meaning</x:v>
      </x:c>
    </x:row>
    <x:row r="29">
      <x:c r="A29" s="26" t="str">
        <x:v>Figure-to-spec audit</x:v>
      </x:c>
      <x:c r="B29" s="26" t="str">
        <x:v>PASS</x:v>
      </x:c>
      <x:c r="C29" s="26" t="str">
        <x:v>Existing FIGS. 1-12 numerals remain aligned; new v0.5 section uses existing FIGS. 4-8 and 11</x:v>
      </x:c>
    </x:row>
    <x:row r="30">
      <x:c r="A30" s="26" t="str">
        <x:v>Detailed claim limitations audited</x:v>
      </x:c>
      <x:c r="B30" s="26" t="n">
        <x:v>70</x:v>
      </x:c>
      <x:c r="C30" s="26" t="str">
        <x:v>Independent-family limitation rows including Claim 136 family</x:v>
      </x:c>
    </x:row>
    <x:row r="31">
      <x:c r="A31" s="26" t="str">
        <x:v>Blocking limitation rows</x:v>
      </x:c>
      <x:c r="B31" s="26" t="n">
        <x:v>17</x:v>
      </x:c>
      <x:c r="C31" s="26" t="str">
        <x:v>Confirmation/support-gated limitation rows; concentrated in local-population, species-selective toxicant, reproductive, genetic and broad target-animal branches</x:v>
      </x:c>
    </x:row>
    <x:row r="32">
      <x:c r="A32" s="26" t="str">
        <x:v>Current spec version</x:v>
      </x:c>
      <x:c r="B32" s="26" t="str">
        <x:v>v0.5</x:v>
      </x:c>
      <x:c r="C32" s="26" t="str">
        <x:v>Longitudinal population-membership/completeness and version-bound authorization expanded</x:v>
      </x:c>
    </x:row>
    <x:row r="33">
      <x:c r="A33" s="43" t="str">
        <x:v>Checkpoint</x:v>
      </x:c>
      <x:c r="B33" s="43" t="str">
        <x:v>Value</x:v>
      </x:c>
      <x:c r="C33" s="43" t="str">
        <x:v>Meaning</x:v>
      </x:c>
    </x:row>
    <x:row r="34">
      <x:c r="A34" s="26" t="str">
        <x:v>Specification</x:v>
      </x:c>
      <x:c r="B34" s="26" t="str">
        <x:v>v0.5</x:v>
      </x:c>
      <x:c r="C34" s="26" t="str">
        <x:v>Specification v0.5 visual QA passed; inventor/counsel review and confirmation-gated §112(a) issues remain</x:v>
      </x:c>
    </x:row>
    <x:row r="35">
      <x:c r="A35" s="26" t="str">
        <x:v>Drawings</x:v>
      </x:c>
      <x:c r="B35" s="26" t="str">
        <x:v>v0.2</x:v>
      </x:c>
      <x:c r="C35" s="26" t="str">
        <x:v>FIGS. 1-12 remain current</x:v>
      </x:c>
    </x:row>
    <x:row r="36">
      <x:c r="A36" s="26" t="str">
        <x:v>Support audit</x:v>
      </x:c>
      <x:c r="B36" s="26" t="str">
        <x:v>v0.3</x:v>
      </x:c>
      <x:c r="C36" s="26" t="str">
        <x:v>Support audit v0.3 created and visually QA-passed; includes Claim 136 family and current prior-art posture</x:v>
      </x:c>
    </x:row>
    <x:row r="37">
      <x:c r="A37" s="26" t="str">
        <x:v>Inventor questionnaire</x:v>
      </x:c>
      <x:c r="B37" s="26" t="str">
        <x:v>v0.1</x:v>
      </x:c>
      <x:c r="C37" s="26" t="str">
        <x:v>Prepared; inventor responses remain pending while prior-art work proceeds in parallel</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18" hidden="0" customWidth="1"/>
    <x:col min="4" max="4" width="12" hidden="0" customWidth="1"/>
    <x:col min="5" max="5" width="35" hidden="0" customWidth="1"/>
    <x:col min="6" max="6" width="75" hidden="0" customWidth="1"/>
    <x:col min="7" max="7" width="14" hidden="0" customWidth="1"/>
    <x:col min="8" max="8" width="46" hidden="0" customWidth="1"/>
    <x:col min="9" max="9" width="14" hidden="0" customWidth="1"/>
    <x:col min="10" max="10" width="38" hidden="0" customWidth="1"/>
    <x:col min="11" max="11" width="38" hidden="0" customWidth="1"/>
  </x:cols>
  <x:sheetData>
    <x:row r="1">
      <x:c r="A1" s="47" t="str">
        <x:v>claim #</x:v>
      </x:c>
      <x:c r="B1" s="47" t="str">
        <x:v>set #</x:v>
      </x:c>
      <x:c r="C1" s="47" t="str">
        <x:v>independent/dependent</x:v>
      </x:c>
      <x:c r="D1" s="47" t="str">
        <x:v>parent claim</x:v>
      </x:c>
      <x:c r="E1" s="47" t="str">
        <x:v>scope summary</x:v>
      </x:c>
      <x:c r="F1" s="47" t="str">
        <x:v>full claim language</x:v>
      </x:c>
      <x:c r="G1" s="47" t="str">
        <x:v>status</x:v>
      </x:c>
      <x:c r="H1" s="47" t="str">
        <x:v>risk flags</x:v>
      </x:c>
      <x:c r="I1" s="47" t="str">
        <x:v>last-updated date</x:v>
      </x:c>
      <x:c r="J1" s="47" t="str">
        <x:v>provisional role</x:v>
      </x:c>
      <x:c r="K1" s="47" t="str">
        <x:v>spec support refs</x:v>
      </x:c>
    </x:row>
    <x:row r="2">
      <x:c r="A2" s="26" t="n">
        <x:v>1</x:v>
      </x:c>
      <x:c r="B2" s="26" t="str">
        <x:v>P-U1</x:v>
      </x:c>
      <x:c r="C2" s="26" t="str">
        <x:v>independent</x:v>
      </x:c>
      <x:c r="D2" s="26"/>
      <x:c r="E2" s="26" t="str">
        <x:v>General recognition-gated population control</x:v>
      </x:c>
      <x:c r="F2" s="26" t="str">
        <x:v>A method of controlling a feral pig population, comprising: acquiring, from a monitored area and using one or more sensors, audio data, video data, or both; processing the audio data, the video data, or both using recognition technology to determine that one or more feral pigs are present in the monitored area; based at least in part on the determination that the one or more feral pigs are present, selectively authorizing administration of a population-control treatment to at least one feral pig, the population-control treatment being configured to reduce survival, fertility, reproductive success, population growth, or population persistence of feral pigs; and inhibiting administration of the population-control treatment when a non-target condition is detected.</x:v>
      </x:c>
      <x:c r="G2" s="26" t="str">
        <x:v>drafted</x:v>
      </x:c>
      <x:c r="H2" s="26" t="str">
        <x:v>prior-art risk</x:v>
      </x:c>
      <x:c r="I2" s="28" t="n">
        <x:v>46268</x:v>
      </x:c>
      <x:c r="J2" s="26" t="str">
        <x:v>Provisional/nonprovisional conversion claim probe; not a filing ceiling</x:v>
      </x:c>
      <x:c r="K2" s="26" t="str">
        <x:v>[0030]-[0058]; [0095]-[0189]; [0190]-[0209]; [0240]-[0260]</x:v>
      </x:c>
    </x:row>
    <x:row r="3">
      <x:c r="A3" s="26" t="n">
        <x:v>2</x:v>
      </x:c>
      <x:c r="B3" s="26" t="str">
        <x:v>P-U1</x:v>
      </x:c>
      <x:c r="C3" s="26" t="str">
        <x:v>dependent</x:v>
      </x:c>
      <x:c r="D3" s="26" t="n">
        <x:v>1</x:v>
      </x:c>
      <x:c r="E3" s="26" t="str">
        <x:v>Audio and video used together</x:v>
      </x:c>
      <x:c r="F3" s="26" t="str">
        <x:v>The method of claim 1, wherein acquiring comprises acquiring both audio data and video data, and wherein determining that the one or more feral pigs are present is based on both the audio data and the video data.</x:v>
      </x:c>
      <x:c r="G3" s="26" t="str">
        <x:v>drafted</x:v>
      </x:c>
      <x:c r="H3" s="26" t="str">
        <x:v>prior-art risk</x:v>
      </x:c>
      <x:c r="I3" s="28" t="n">
        <x:v>46268</x:v>
      </x:c>
      <x:c r="J3" s="26" t="str">
        <x:v>Provisional/nonprovisional conversion claim probe; not a filing ceiling</x:v>
      </x:c>
      <x:c r="K3" s="26" t="str">
        <x:v>[0030]-[0058]; [0095]-[0189]; [0190]-[0209]; [0240]-[0260]</x:v>
      </x:c>
    </x:row>
    <x:row r="4">
      <x:c r="A4" s="26" t="n">
        <x:v>3</x:v>
      </x:c>
      <x:c r="B4" s="26" t="str">
        <x:v>P-U1</x:v>
      </x:c>
      <x:c r="C4" s="26" t="str">
        <x:v>dependent</x:v>
      </x:c>
      <x:c r="D4" s="26" t="n">
        <x:v>1</x:v>
      </x:c>
      <x:c r="E4" s="26" t="str">
        <x:v>Machine-learning recognition</x:v>
      </x:c>
      <x:c r="F4" s="26" t="str">
        <x:v>The method of claim 1, wherein processing comprises applying at least one trained machine-learning model that outputs a feral-pig classification, a non-target classification, an unknown classification, or a confidence value associated with at least one of the classifications.</x:v>
      </x:c>
      <x:c r="G4" s="26" t="str">
        <x:v>drafted</x:v>
      </x:c>
      <x:c r="H4" s="26" t="str">
        <x:v>prior-art risk</x:v>
      </x:c>
      <x:c r="I4" s="28" t="n">
        <x:v>46268</x:v>
      </x:c>
      <x:c r="J4" s="26" t="str">
        <x:v>Provisional/nonprovisional conversion claim probe; not a filing ceiling</x:v>
      </x:c>
      <x:c r="K4" s="26" t="str">
        <x:v>[0030]-[0058]; [0095]-[0189]; [0190]-[0209]; [0240]-[0260]</x:v>
      </x:c>
    </x:row>
    <x:row r="5">
      <x:c r="A5" s="26" t="n">
        <x:v>4</x:v>
      </x:c>
      <x:c r="B5" s="26" t="str">
        <x:v>P-U1</x:v>
      </x:c>
      <x:c r="C5" s="26" t="str">
        <x:v>dependent</x:v>
      </x:c>
      <x:c r="D5" s="26" t="n">
        <x:v>1</x:v>
      </x:c>
      <x:c r="E5" s="26" t="str">
        <x:v>Pretraining against local fauna</x:v>
      </x:c>
      <x:c r="F5" s="26" t="str">
        <x:v>The method of claim 1, wherein the recognition technology comprises a model pretrained using positive training examples representing feral pigs and negative training examples representing one or more non-target animal species expected to occur in the monitored area.</x:v>
      </x:c>
      <x:c r="G5" s="26" t="str">
        <x:v>drafted</x:v>
      </x:c>
      <x:c r="H5" s="26" t="str">
        <x:v>prior-art risk</x:v>
      </x:c>
      <x:c r="I5" s="28" t="n">
        <x:v>46268</x:v>
      </x:c>
      <x:c r="J5" s="26" t="str">
        <x:v>Provisional/nonprovisional conversion claim probe; not a filing ceiling</x:v>
      </x:c>
      <x:c r="K5" s="26" t="str">
        <x:v>[0030]-[0058]; [0095]-[0189]; [0190]-[0209]; [0240]-[0260]</x:v>
      </x:c>
    </x:row>
    <x:row r="6">
      <x:c r="A6" s="26" t="n">
        <x:v>5</x:v>
      </x:c>
      <x:c r="B6" s="26" t="str">
        <x:v>P-U1</x:v>
      </x:c>
      <x:c r="C6" s="26" t="str">
        <x:v>dependent</x:v>
      </x:c>
      <x:c r="D6" s="26" t="n">
        <x:v>1</x:v>
      </x:c>
      <x:c r="E6" s="26" t="str">
        <x:v>Lethal treatment</x:v>
      </x:c>
      <x:c r="F6" s="26" t="str">
        <x:v>The method of claim 1, wherein the population-control treatment is a lethal treatment configured to kill at least one feral pig receiving the lethal treatment.</x:v>
      </x:c>
      <x:c r="G6" s="26" t="str">
        <x:v>drafted</x:v>
      </x:c>
      <x:c r="H6" s="26" t="str">
        <x:v>prior-art risk</x:v>
      </x:c>
      <x:c r="I6" s="28" t="n">
        <x:v>46268</x:v>
      </x:c>
      <x:c r="J6" s="26" t="str">
        <x:v>Provisional/nonprovisional conversion claim probe; not a filing ceiling</x:v>
      </x:c>
      <x:c r="K6" s="26" t="str">
        <x:v>[0030]-[0058]; [0095]-[0189]; [0190]-[0209]; [0240]-[0260]</x:v>
      </x:c>
    </x:row>
    <x:row r="7">
      <x:c r="A7" s="26" t="n">
        <x:v>6</x:v>
      </x:c>
      <x:c r="B7" s="26" t="str">
        <x:v>P-U1</x:v>
      </x:c>
      <x:c r="C7" s="26" t="str">
        <x:v>dependent</x:v>
      </x:c>
      <x:c r="D7" s="26" t="n">
        <x:v>1</x:v>
      </x:c>
      <x:c r="E7" s="26" t="str">
        <x:v>General toxicant with selective exposure</x:v>
      </x:c>
      <x:c r="F7" s="26" t="str">
        <x:v>The method of claim 1, wherein the population-control treatment comprises a toxicant that is not inherently selective for feral pigs, and wherein selectively authorizing administration comprises selectively controlling access, exposure, dispensing, location, or timing so as to preferentially expose feral pigs to the toxicant.</x:v>
      </x:c>
      <x:c r="G7" s="26" t="str">
        <x:v>drafted</x:v>
      </x:c>
      <x:c r="H7" s="26" t="str">
        <x:v>prior-art risk</x:v>
      </x:c>
      <x:c r="I7" s="28" t="n">
        <x:v>46268</x:v>
      </x:c>
      <x:c r="J7" s="26" t="str">
        <x:v>Provisional/nonprovisional conversion claim probe; not a filing ceiling</x:v>
      </x:c>
      <x:c r="K7" s="26" t="str">
        <x:v>[0030]-[0058]; [0095]-[0189]; [0190]-[0209]; [0240]-[0260]</x:v>
      </x:c>
    </x:row>
    <x:row r="8">
      <x:c r="A8" s="26" t="n">
        <x:v>7</x:v>
      </x:c>
      <x:c r="B8" s="26" t="str">
        <x:v>P-U1</x:v>
      </x:c>
      <x:c r="C8" s="26" t="str">
        <x:v>dependent</x:v>
      </x:c>
      <x:c r="D8" s="26" t="n">
        <x:v>1</x:v>
      </x:c>
      <x:c r="E8" s="26" t="str">
        <x:v>Species-selective toxicant</x:v>
      </x:c>
      <x:c r="F8" s="26" t="str">
        <x:v>The method of claim 1, wherein the population-control treatment comprises a species-selective toxicant configured or formulated to produce a greater toxic effect in feral pigs than in at least one selected non-target animal species under intended use conditions.</x:v>
      </x:c>
      <x:c r="G8" s="26" t="str">
        <x:v>drafted</x:v>
      </x:c>
      <x:c r="H8" s="26" t="str">
        <x:v>prior-art risk</x:v>
      </x:c>
      <x:c r="I8" s="28" t="n">
        <x:v>46268</x:v>
      </x:c>
      <x:c r="J8" s="26" t="str">
        <x:v>Provisional/nonprovisional conversion claim probe; not a filing ceiling</x:v>
      </x:c>
      <x:c r="K8" s="26" t="str">
        <x:v>[0030]-[0058]; [0095]-[0189]; [0190]-[0209]; [0240]-[0260]</x:v>
      </x:c>
    </x:row>
    <x:row r="9">
      <x:c r="A9" s="26" t="n">
        <x:v>8</x:v>
      </x:c>
      <x:c r="B9" s="26" t="str">
        <x:v>P-U1</x:v>
      </x:c>
      <x:c r="C9" s="26" t="str">
        <x:v>dependent</x:v>
      </x:c>
      <x:c r="D9" s="26" t="n">
        <x:v>1</x:v>
      </x:c>
      <x:c r="E9" s="26" t="str">
        <x:v>Reproductive control</x:v>
      </x:c>
      <x:c r="F9" s="26" t="str">
        <x:v>The method of claim 1, wherein the population-control treatment comprises a reproductive-control treatment configured to reduce fertility or reproductive success of at least one feral pig.</x:v>
      </x:c>
      <x:c r="G9" s="26" t="str">
        <x:v>drafted</x:v>
      </x:c>
      <x:c r="H9" s="26" t="str">
        <x:v>prior-art risk</x:v>
      </x:c>
      <x:c r="I9" s="28" t="n">
        <x:v>46268</x:v>
      </x:c>
      <x:c r="J9" s="26" t="str">
        <x:v>Provisional/nonprovisional conversion claim probe; not a filing ceiling</x:v>
      </x:c>
      <x:c r="K9" s="26" t="str">
        <x:v>[0030]-[0058]; [0095]-[0189]; [0190]-[0209]; [0240]-[0260]</x:v>
      </x:c>
    </x:row>
    <x:row r="10">
      <x:c r="A10" s="26" t="n">
        <x:v>9</x:v>
      </x:c>
      <x:c r="B10" s="26" t="str">
        <x:v>P-U1</x:v>
      </x:c>
      <x:c r="C10" s="26" t="str">
        <x:v>dependent</x:v>
      </x:c>
      <x:c r="D10" s="26" t="n">
        <x:v>1</x:v>
      </x:c>
      <x:c r="E10" s="26" t="str">
        <x:v>Genetic modification control</x:v>
      </x:c>
      <x:c r="F10" s="26" t="str">
        <x:v>The method of claim 1, wherein the population-control treatment comprises a genetic-modification treatment configured to modify genetic material or gene expression in at least one feral pig in a manner that reduces viability, fertility, reproductive success, transmission of a genetic trait, or population persistence.</x:v>
      </x:c>
      <x:c r="G10" s="26" t="str">
        <x:v>drafted</x:v>
      </x:c>
      <x:c r="H10" s="26" t="str">
        <x:v>prior-art risk</x:v>
      </x:c>
      <x:c r="I10" s="28" t="n">
        <x:v>46268</x:v>
      </x:c>
      <x:c r="J10" s="26" t="str">
        <x:v>Provisional/nonprovisional conversion claim probe; not a filing ceiling</x:v>
      </x:c>
      <x:c r="K10" s="26" t="str">
        <x:v>[0030]-[0058]; [0095]-[0189]; [0190]-[0209]; [0240]-[0260]</x:v>
      </x:c>
    </x:row>
    <x:row r="11">
      <x:c r="A11" s="26" t="n">
        <x:v>10</x:v>
      </x:c>
      <x:c r="B11" s="26" t="str">
        <x:v>P-U1</x:v>
      </x:c>
      <x:c r="C11" s="26" t="str">
        <x:v>dependent</x:v>
      </x:c>
      <x:c r="D11" s="26" t="n">
        <x:v>1</x:v>
      </x:c>
      <x:c r="E11" s="26" t="str">
        <x:v>Feed or feed carrier</x:v>
      </x:c>
      <x:c r="F11" s="26" t="str">
        <x:v>The method of claim 1, wherein the population-control treatment comprises a feed, or comprises a population-control agent carried by, mixed with, coated on, encapsulated in, associated with, or administered together with a feed selectively made available to feral pigs.</x:v>
      </x:c>
      <x:c r="G11" s="26" t="str">
        <x:v>drafted</x:v>
      </x:c>
      <x:c r="H11" s="26" t="str">
        <x:v>prior-art risk</x:v>
      </x:c>
      <x:c r="I11" s="28" t="n">
        <x:v>46268</x:v>
      </x:c>
      <x:c r="J11" s="26" t="str">
        <x:v>Provisional/nonprovisional conversion claim probe; not a filing ceiling</x:v>
      </x:c>
      <x:c r="K11" s="26" t="str">
        <x:v>[0030]-[0058]; [0095]-[0189]; [0190]-[0209]; [0240]-[0260]</x:v>
      </x:c>
    </x:row>
    <x:row r="12">
      <x:c r="A12" s="26" t="n">
        <x:v>11</x:v>
      </x:c>
      <x:c r="B12" s="26" t="str">
        <x:v>P-U1</x:v>
      </x:c>
      <x:c r="C12" s="26" t="str">
        <x:v>independent</x:v>
      </x:c>
      <x:c r="D12" s="26"/>
      <x:c r="E12" s="26" t="str">
        <x:v>Local-population learning and completeness-gated administration</x:v>
      </x:c>
      <x:c r="F12" s="26" t="str">
        <x:v>A method of controlling a local feral pig population, comprising: during an observation period, obtaining audio observations, video observations, or both from a geographic area; processing the observations using one or more trained machine-learning models to recognize feral pigs observed in the geographic area; establishing and maintaining, from observations obtained at different times during the observation period, a working population set representing members of the local feral pig population; after establishing the working population set, obtaining current audio data, current video data, or both; determining, from the current data and the working population set, that a population-presence criterion has been satisfied; and, after the population-presence criterion has been satisfied, selectively administering a population-control treatment to feral pigs represented in the working population set.</x:v>
      </x:c>
      <x:c r="G12" s="26" t="str">
        <x:v>drafted</x:v>
      </x:c>
      <x:c r="H12" s="26" t="str">
        <x:v>prior-art risk; written-description gap; enablement gap; 112(b)</x:v>
      </x:c>
      <x:c r="I12" s="28" t="n">
        <x:v>46268</x:v>
      </x:c>
      <x:c r="J12" s="26" t="str">
        <x:v>Provisional/nonprovisional conversion claim probe; not a filing ceiling</x:v>
      </x:c>
      <x:c r="K12" s="26" t="str">
        <x:v>[0060]-[0118]; [0210]-[0260]</x:v>
      </x:c>
    </x:row>
    <x:row r="13">
      <x:c r="A13" s="26" t="n">
        <x:v>12</x:v>
      </x:c>
      <x:c r="B13" s="26" t="str">
        <x:v>P-U1</x:v>
      </x:c>
      <x:c r="C13" s="26" t="str">
        <x:v>dependent</x:v>
      </x:c>
      <x:c r="D13" s="26" t="n">
        <x:v>11</x:v>
      </x:c>
      <x:c r="E13" s="26" t="str">
        <x:v>Persistent individual identifiers</x:v>
      </x:c>
      <x:c r="F13" s="26" t="str">
        <x:v>The method of claim 11, wherein establishing and maintaining the working population set comprises assigning respective persistent or pseudonymous identifiers to individual feral pigs based on one or more visual, acoustic, morphological, behavioral, spatial, or temporal features.</x:v>
      </x:c>
      <x:c r="G13" s="26" t="str">
        <x:v>drafted</x:v>
      </x:c>
      <x:c r="H13" s="26" t="str">
        <x:v>prior-art risk; written-description gap; enablement gap; 112(b)</x:v>
      </x:c>
      <x:c r="I13" s="28" t="n">
        <x:v>46268</x:v>
      </x:c>
      <x:c r="J13" s="26" t="str">
        <x:v>Provisional/nonprovisional conversion claim probe; not a filing ceiling</x:v>
      </x:c>
      <x:c r="K13" s="26" t="str">
        <x:v>[0060]-[0118]; [0210]-[0260]</x:v>
      </x:c>
    </x:row>
    <x:row r="14">
      <x:c r="A14" s="26" t="n">
        <x:v>13</x:v>
      </x:c>
      <x:c r="B14" s="26" t="str">
        <x:v>P-U1</x:v>
      </x:c>
      <x:c r="C14" s="26" t="str">
        <x:v>dependent</x:v>
      </x:c>
      <x:c r="D14" s="26" t="n">
        <x:v>11</x:v>
      </x:c>
      <x:c r="E14" s="26" t="str">
        <x:v>All active members currently present</x:v>
      </x:c>
      <x:c r="F14" s="26" t="str">
        <x:v>The method of claim 11, wherein the population-presence criterion requires each feral pig having an active identifier in the working population set to be detected within a current observation window before administration of the population-control treatment is authorized.</x:v>
      </x:c>
      <x:c r="G14" s="26" t="str">
        <x:v>drafted</x:v>
      </x:c>
      <x:c r="H14" s="26" t="str">
        <x:v>prior-art risk; written-description gap; enablement gap; 112(b)</x:v>
      </x:c>
      <x:c r="I14" s="28" t="n">
        <x:v>46268</x:v>
      </x:c>
      <x:c r="J14" s="26" t="str">
        <x:v>Provisional/nonprovisional conversion claim probe; not a filing ceiling</x:v>
      </x:c>
      <x:c r="K14" s="26" t="str">
        <x:v>[0060]-[0118]; [0210]-[0260]</x:v>
      </x:c>
    </x:row>
    <x:row r="15">
      <x:c r="A15" s="26" t="n">
        <x:v>14</x:v>
      </x:c>
      <x:c r="B15" s="26" t="str">
        <x:v>P-U1</x:v>
      </x:c>
      <x:c r="C15" s="26" t="str">
        <x:v>dependent</x:v>
      </x:c>
      <x:c r="D15" s="26" t="n">
        <x:v>11</x:v>
      </x:c>
      <x:c r="E15" s="26" t="str">
        <x:v>Unknown pig veto</x:v>
      </x:c>
      <x:c r="F15" s="26" t="str">
        <x:v>The method of claim 11, further comprising inhibiting administration of the population-control treatment when a feral pig is detected that cannot be associated with an active identifier in the working population set with at least a selected confidence.</x:v>
      </x:c>
      <x:c r="G15" s="26" t="str">
        <x:v>drafted</x:v>
      </x:c>
      <x:c r="H15" s="26" t="str">
        <x:v>prior-art risk; written-description gap; enablement gap; 112(b)</x:v>
      </x:c>
      <x:c r="I15" s="28" t="n">
        <x:v>46268</x:v>
      </x:c>
      <x:c r="J15" s="26" t="str">
        <x:v>Provisional/nonprovisional conversion claim probe; not a filing ceiling</x:v>
      </x:c>
      <x:c r="K15" s="26" t="str">
        <x:v>[0060]-[0118]; [0210]-[0260]</x:v>
      </x:c>
    </x:row>
    <x:row r="16">
      <x:c r="A16" s="26" t="n">
        <x:v>15</x:v>
      </x:c>
      <x:c r="B16" s="26" t="str">
        <x:v>P-U1</x:v>
      </x:c>
      <x:c r="C16" s="26" t="str">
        <x:v>dependent</x:v>
      </x:c>
      <x:c r="D16" s="26" t="n">
        <x:v>11</x:v>
      </x:c>
      <x:c r="E16" s="26" t="str">
        <x:v>Dynamic membership</x:v>
      </x:c>
      <x:c r="F16" s="26" t="str">
        <x:v>The method of claim 11, further comprising updating the working population set in response to repeated observations indicating an arrival, departure, birth, death, removal, prolonged absence, subgroup split, subgroup merge, or change in association of one or more feral pigs with the local feral pig population.</x:v>
      </x:c>
      <x:c r="G16" s="26" t="str">
        <x:v>drafted</x:v>
      </x:c>
      <x:c r="H16" s="26" t="str">
        <x:v>prior-art risk; written-description gap; enablement gap; 112(b)</x:v>
      </x:c>
      <x:c r="I16" s="28" t="n">
        <x:v>46268</x:v>
      </x:c>
      <x:c r="J16" s="26" t="str">
        <x:v>Provisional/nonprovisional conversion claim probe; not a filing ceiling</x:v>
      </x:c>
      <x:c r="K16" s="26" t="str">
        <x:v>[0060]-[0118]; [0210]-[0260]</x:v>
      </x:c>
    </x:row>
    <x:row r="17">
      <x:c r="A17" s="26" t="n">
        <x:v>16</x:v>
      </x:c>
      <x:c r="B17" s="26" t="str">
        <x:v>P-U1</x:v>
      </x:c>
      <x:c r="C17" s="26" t="str">
        <x:v>dependent</x:v>
      </x:c>
      <x:c r="D17" s="26" t="n">
        <x:v>11</x:v>
      </x:c>
      <x:c r="E17" s="26" t="str">
        <x:v>Pretrained model</x:v>
      </x:c>
      <x:c r="F17" s="26" t="str">
        <x:v>The method of claim 11, wherein at least one of the trained machine-learning models is pretrained using training data obtained outside the geographic area to distinguish feral pigs from non-target fauna.</x:v>
      </x:c>
      <x:c r="G17" s="26" t="str">
        <x:v>drafted</x:v>
      </x:c>
      <x:c r="H17" s="26" t="str">
        <x:v>prior-art risk; written-description gap; enablement gap; 112(b)</x:v>
      </x:c>
      <x:c r="I17" s="28" t="n">
        <x:v>46268</x:v>
      </x:c>
      <x:c r="J17" s="26" t="str">
        <x:v>Provisional/nonprovisional conversion claim probe; not a filing ceiling</x:v>
      </x:c>
      <x:c r="K17" s="26" t="str">
        <x:v>[0060]-[0118]; [0210]-[0260]</x:v>
      </x:c>
    </x:row>
    <x:row r="18">
      <x:c r="A18" s="26" t="n">
        <x:v>17</x:v>
      </x:c>
      <x:c r="B18" s="26" t="str">
        <x:v>P-U1</x:v>
      </x:c>
      <x:c r="C18" s="26" t="str">
        <x:v>dependent</x:v>
      </x:c>
      <x:c r="D18" s="26" t="n">
        <x:v>11</x:v>
      </x:c>
      <x:c r="E18" s="26" t="str">
        <x:v>Local training or adaptation</x:v>
      </x:c>
      <x:c r="F18" s="26" t="str">
        <x:v>The method of claim 11, wherein at least one of the trained machine-learning models is trained, fine-tuned, calibrated, or otherwise adapted using observations obtained from the geographic area, including observations of the local feral pig population.</x:v>
      </x:c>
      <x:c r="G18" s="26" t="str">
        <x:v>drafted</x:v>
      </x:c>
      <x:c r="H18" s="26" t="str">
        <x:v>prior-art risk; written-description gap; enablement gap; 112(b)</x:v>
      </x:c>
      <x:c r="I18" s="28" t="n">
        <x:v>46268</x:v>
      </x:c>
      <x:c r="J18" s="26" t="str">
        <x:v>Provisional/nonprovisional conversion claim probe; not a filing ceiling</x:v>
      </x:c>
      <x:c r="K18" s="26" t="str">
        <x:v>[0060]-[0118]; [0210]-[0260]</x:v>
      </x:c>
    </x:row>
    <x:row r="19">
      <x:c r="A19" s="26" t="n">
        <x:v>18</x:v>
      </x:c>
      <x:c r="B19" s="26" t="str">
        <x:v>P-U1</x:v>
      </x:c>
      <x:c r="C19" s="26" t="str">
        <x:v>dependent</x:v>
      </x:c>
      <x:c r="D19" s="26" t="n">
        <x:v>11</x:v>
      </x:c>
      <x:c r="E19" s="26" t="str">
        <x:v>Multimodal fusion</x:v>
      </x:c>
      <x:c r="F19" s="26" t="str">
        <x:v>The method of claim 11, wherein the population-presence criterion is determined using a fusion of audio-derived evidence and video-derived evidence, and wherein disagreement, low confidence, or unavailability of one of the evidence types causes administration to be delayed, inhibited, or subjected to an additional authorization condition.</x:v>
      </x:c>
      <x:c r="G19" s="26" t="str">
        <x:v>drafted</x:v>
      </x:c>
      <x:c r="H19" s="26" t="str">
        <x:v>prior-art risk; written-description gap; enablement gap; 112(b)</x:v>
      </x:c>
      <x:c r="I19" s="28" t="n">
        <x:v>46268</x:v>
      </x:c>
      <x:c r="J19" s="26" t="str">
        <x:v>Provisional/nonprovisional conversion claim probe; not a filing ceiling</x:v>
      </x:c>
      <x:c r="K19" s="26" t="str">
        <x:v>[0060]-[0118]; [0210]-[0260]</x:v>
      </x:c>
    </x:row>
    <x:row r="20">
      <x:c r="A20" s="26" t="n">
        <x:v>19</x:v>
      </x:c>
      <x:c r="B20" s="26" t="str">
        <x:v>P-U1</x:v>
      </x:c>
      <x:c r="C20" s="26" t="str">
        <x:v>dependent</x:v>
      </x:c>
      <x:c r="D20" s="26" t="n">
        <x:v>11</x:v>
      </x:c>
      <x:c r="E20" s="26" t="str">
        <x:v>Treatment-class alternatives</x:v>
      </x:c>
      <x:c r="F20" s="26" t="str">
        <x:v>The method of claim 11, wherein the population-control treatment comprises at least one treatment selected from the group consisting of a lethal toxicant, a species-selective toxicant, a reproductive-control treatment, a genetic-modification treatment, a feed used as a population-control treatment, and a feed containing a population-control agent.</x:v>
      </x:c>
      <x:c r="G20" s="26" t="str">
        <x:v>drafted</x:v>
      </x:c>
      <x:c r="H20" s="26" t="str">
        <x:v>prior-art risk; written-description gap; enablement gap; 112(b)</x:v>
      </x:c>
      <x:c r="I20" s="28" t="n">
        <x:v>46268</x:v>
      </x:c>
      <x:c r="J20" s="26" t="str">
        <x:v>Provisional/nonprovisional conversion claim probe; not a filing ceiling</x:v>
      </x:c>
      <x:c r="K20" s="26" t="str">
        <x:v>[0060]-[0118]; [0210]-[0260]</x:v>
      </x:c>
    </x:row>
    <x:row r="21">
      <x:c r="A21" s="26" t="n">
        <x:v>20</x:v>
      </x:c>
      <x:c r="B21" s="26" t="str">
        <x:v>P-U1</x:v>
      </x:c>
      <x:c r="C21" s="26" t="str">
        <x:v>dependent</x:v>
      </x:c>
      <x:c r="D21" s="26" t="n">
        <x:v>11</x:v>
      </x:c>
      <x:c r="E21" s="26" t="str">
        <x:v>Feed vehicle after population criterion</x:v>
      </x:c>
      <x:c r="F21" s="26" t="str">
        <x:v>The method of claim 11, wherein selectively administering comprises making a feed available only after the population-presence criterion has been satisfied, the feed containing or being administered with at least one population-control agent.</x:v>
      </x:c>
      <x:c r="G21" s="26" t="str">
        <x:v>drafted</x:v>
      </x:c>
      <x:c r="H21" s="26" t="str">
        <x:v>prior-art risk; written-description gap; enablement gap; 112(b)</x:v>
      </x:c>
      <x:c r="I21" s="28" t="n">
        <x:v>46268</x:v>
      </x:c>
      <x:c r="J21" s="26" t="str">
        <x:v>Provisional/nonprovisional conversion claim probe; not a filing ceiling</x:v>
      </x:c>
      <x:c r="K21" s="26" t="str">
        <x:v>[0060]-[0118]; [0210]-[0260]</x:v>
      </x:c>
    </x:row>
    <x:row r="22">
      <x:c r="A22" s="26" t="n">
        <x:v>21</x:v>
      </x:c>
      <x:c r="B22" s="26" t="str">
        <x:v>P-U1</x:v>
      </x:c>
      <x:c r="C22" s="26" t="str">
        <x:v>independent</x:v>
      </x:c>
      <x:c r="D22" s="26"/>
      <x:c r="E22" s="26" t="str">
        <x:v>General toxicant selectively delivered by recognition</x:v>
      </x:c>
      <x:c r="F22" s="26" t="str">
        <x:v>A method of controlling feral pigs using a generally toxic population-control agent, comprising: monitoring an access region associated with a source of a toxicant using audio sensing, video sensing, or both; processing sensed data using recognition technology to distinguish feral pigs from non-target animals; maintaining the toxicant in a state in which access by animals is restricted; in response to determining that one or more feral pigs satisfy an authorization condition, transitioning an access-control device or dispensing device to a state that permits exposure of the one or more feral pigs to the toxicant; and returning the access-control device or the dispensing device to a restricted state in response to expiration of an authorization interval or detection of a non-target condition, wherein the toxicant has a lethal effect on feral pigs and is not required to be inherently selective for feral pigs.</x:v>
      </x:c>
      <x:c r="G22" s="26" t="str">
        <x:v>drafted</x:v>
      </x:c>
      <x:c r="H22" s="26" t="str">
        <x:v>prior-art risk; regulatory/deployment issue</x:v>
      </x:c>
      <x:c r="I22" s="28" t="n">
        <x:v>46268</x:v>
      </x:c>
      <x:c r="J22" s="26" t="str">
        <x:v>Provisional/nonprovisional conversion claim probe; not a filing ceiling</x:v>
      </x:c>
      <x:c r="K22" s="26" t="str">
        <x:v>[0030]-[0058]; [0095]-[0180]; [0240]-[0260]</x:v>
      </x:c>
    </x:row>
    <x:row r="23">
      <x:c r="A23" s="26" t="n">
        <x:v>22</x:v>
      </x:c>
      <x:c r="B23" s="26" t="str">
        <x:v>P-U1</x:v>
      </x:c>
      <x:c r="C23" s="26" t="str">
        <x:v>dependent</x:v>
      </x:c>
      <x:c r="D23" s="26" t="n">
        <x:v>21</x:v>
      </x:c>
      <x:c r="E23" s="26" t="str">
        <x:v>General toxicant explicitly nonselective</x:v>
      </x:c>
      <x:c r="F23" s="26" t="str">
        <x:v>The method of claim 21, wherein the toxicant is capable of producing a toxic effect in both feral pigs and at least one non-target animal species, and wherein selectivity is provided by controlling physical access, dispensing, exposure location, or exposure timing rather than by species-selective toxicity of the toxicant.</x:v>
      </x:c>
      <x:c r="G23" s="26" t="str">
        <x:v>drafted</x:v>
      </x:c>
      <x:c r="H23" s="26" t="str">
        <x:v>prior-art risk; regulatory/deployment issue</x:v>
      </x:c>
      <x:c r="I23" s="28" t="n">
        <x:v>46268</x:v>
      </x:c>
      <x:c r="J23" s="26" t="str">
        <x:v>Provisional/nonprovisional conversion claim probe; not a filing ceiling</x:v>
      </x:c>
      <x:c r="K23" s="26" t="str">
        <x:v>[0030]-[0058]; [0095]-[0180]; [0240]-[0260]</x:v>
      </x:c>
    </x:row>
    <x:row r="24">
      <x:c r="A24" s="26" t="n">
        <x:v>23</x:v>
      </x:c>
      <x:c r="B24" s="26" t="str">
        <x:v>P-U1</x:v>
      </x:c>
      <x:c r="C24" s="26" t="str">
        <x:v>dependent</x:v>
      </x:c>
      <x:c r="D24" s="26" t="n">
        <x:v>21</x:v>
      </x:c>
      <x:c r="E24" s="26" t="str">
        <x:v>Protected compartment</x:v>
      </x:c>
      <x:c r="F24" s="26" t="str">
        <x:v>The method of claim 21, wherein the toxicant is contained in a protected compartment having a movable door, gate, lid, barrier, valve, shutter, or other access member controlled in response to the recognition technology.</x:v>
      </x:c>
      <x:c r="G24" s="26" t="str">
        <x:v>drafted</x:v>
      </x:c>
      <x:c r="H24" s="26" t="str">
        <x:v>prior-art risk; regulatory/deployment issue</x:v>
      </x:c>
      <x:c r="I24" s="28" t="n">
        <x:v>46268</x:v>
      </x:c>
      <x:c r="J24" s="26" t="str">
        <x:v>Provisional/nonprovisional conversion claim probe; not a filing ceiling</x:v>
      </x:c>
      <x:c r="K24" s="26" t="str">
        <x:v>[0030]-[0058]; [0095]-[0180]; [0240]-[0260]</x:v>
      </x:c>
    </x:row>
    <x:row r="25">
      <x:c r="A25" s="26" t="n">
        <x:v>24</x:v>
      </x:c>
      <x:c r="B25" s="26" t="str">
        <x:v>P-U1</x:v>
      </x:c>
      <x:c r="C25" s="26" t="str">
        <x:v>dependent</x:v>
      </x:c>
      <x:c r="D25" s="26" t="n">
        <x:v>21</x:v>
      </x:c>
      <x:c r="E25" s="26" t="str">
        <x:v>Feed carrier</x:v>
      </x:c>
      <x:c r="F25" s="26" t="str">
        <x:v>The method of claim 21, wherein the toxicant is carried by, mixed with, coated on, encapsulated in, or otherwise associated with a feed or bait presented in the access region.</x:v>
      </x:c>
      <x:c r="G25" s="26" t="str">
        <x:v>drafted</x:v>
      </x:c>
      <x:c r="H25" s="26" t="str">
        <x:v>prior-art risk; regulatory/deployment issue</x:v>
      </x:c>
      <x:c r="I25" s="28" t="n">
        <x:v>46268</x:v>
      </x:c>
      <x:c r="J25" s="26" t="str">
        <x:v>Provisional/nonprovisional conversion claim probe; not a filing ceiling</x:v>
      </x:c>
      <x:c r="K25" s="26" t="str">
        <x:v>[0030]-[0058]; [0095]-[0180]; [0240]-[0260]</x:v>
      </x:c>
    </x:row>
    <x:row r="26">
      <x:c r="A26" s="26" t="n">
        <x:v>25</x:v>
      </x:c>
      <x:c r="B26" s="26" t="str">
        <x:v>P-U1</x:v>
      </x:c>
      <x:c r="C26" s="26" t="str">
        <x:v>dependent</x:v>
      </x:c>
      <x:c r="D26" s="26" t="n">
        <x:v>21</x:v>
      </x:c>
      <x:c r="E26" s="26" t="str">
        <x:v>Local population criterion</x:v>
      </x:c>
      <x:c r="F26" s="26" t="str">
        <x:v>The method of claim 21, wherein the authorization condition includes a population-presence condition derived from observations of a local feral pig population obtained over a plurality of visits to the access region.</x:v>
      </x:c>
      <x:c r="G26" s="26" t="str">
        <x:v>drafted</x:v>
      </x:c>
      <x:c r="H26" s="26" t="str">
        <x:v>prior-art risk; written-description gap; enablement gap; 112(b); regulatory/deployment issue</x:v>
      </x:c>
      <x:c r="I26" s="28" t="n">
        <x:v>46268</x:v>
      </x:c>
      <x:c r="J26" s="26" t="str">
        <x:v>Provisional/nonprovisional conversion claim probe; not a filing ceiling</x:v>
      </x:c>
      <x:c r="K26" s="26" t="str">
        <x:v>[0030]-[0058]; [0095]-[0180]; [0240]-[0260]</x:v>
      </x:c>
    </x:row>
    <x:row r="27">
      <x:c r="A27" s="26" t="n">
        <x:v>26</x:v>
      </x:c>
      <x:c r="B27" s="26" t="str">
        <x:v>P-U1</x:v>
      </x:c>
      <x:c r="C27" s="26" t="str">
        <x:v>dependent</x:v>
      </x:c>
      <x:c r="D27" s="26" t="n">
        <x:v>21</x:v>
      </x:c>
      <x:c r="E27" s="26" t="str">
        <x:v>All learned local members present</x:v>
      </x:c>
      <x:c r="F27" s="26" t="str">
        <x:v>The method of claim 21, wherein the population-presence condition requires current detection of each active member of a machine-maintained working population set before the toxicant is made accessible.</x:v>
      </x:c>
      <x:c r="G27" s="26" t="str">
        <x:v>drafted</x:v>
      </x:c>
      <x:c r="H27" s="26" t="str">
        <x:v>prior-art risk; written-description gap; enablement gap; 112(b); regulatory/deployment issue</x:v>
      </x:c>
      <x:c r="I27" s="28" t="n">
        <x:v>46268</x:v>
      </x:c>
      <x:c r="J27" s="26" t="str">
        <x:v>Provisional/nonprovisional conversion claim probe; not a filing ceiling</x:v>
      </x:c>
      <x:c r="K27" s="26" t="str">
        <x:v>[0030]-[0058]; [0095]-[0180]; [0240]-[0260]</x:v>
      </x:c>
    </x:row>
    <x:row r="28">
      <x:c r="A28" s="26" t="n">
        <x:v>27</x:v>
      </x:c>
      <x:c r="B28" s="26" t="str">
        <x:v>P-U1</x:v>
      </x:c>
      <x:c r="C28" s="26" t="str">
        <x:v>dependent</x:v>
      </x:c>
      <x:c r="D28" s="26" t="n">
        <x:v>21</x:v>
      </x:c>
      <x:c r="E28" s="26" t="str">
        <x:v>Non-target and unknown veto</x:v>
      </x:c>
      <x:c r="F28" s="26" t="str">
        <x:v>The method of claim 21, wherein detection of a human, a protected animal, a domestic animal, a non-target wildlife species, or an animal assigned an unknown classification causes the access-control device or the dispensing device to remain in or return to the restricted state.</x:v>
      </x:c>
      <x:c r="G28" s="26" t="str">
        <x:v>drafted</x:v>
      </x:c>
      <x:c r="H28" s="26" t="str">
        <x:v>prior-art risk; regulatory/deployment issue</x:v>
      </x:c>
      <x:c r="I28" s="28" t="n">
        <x:v>46268</x:v>
      </x:c>
      <x:c r="J28" s="26" t="str">
        <x:v>Provisional/nonprovisional conversion claim probe; not a filing ceiling</x:v>
      </x:c>
      <x:c r="K28" s="26" t="str">
        <x:v>[0030]-[0058]; [0095]-[0180]; [0240]-[0260]</x:v>
      </x:c>
    </x:row>
    <x:row r="29">
      <x:c r="A29" s="26" t="n">
        <x:v>28</x:v>
      </x:c>
      <x:c r="B29" s="26" t="str">
        <x:v>P-U1</x:v>
      </x:c>
      <x:c r="C29" s="26" t="str">
        <x:v>dependent</x:v>
      </x:c>
      <x:c r="D29" s="26" t="n">
        <x:v>21</x:v>
      </x:c>
      <x:c r="E29" s="26" t="str">
        <x:v>Limited exposure interval</x:v>
      </x:c>
      <x:c r="F29" s="26" t="str">
        <x:v>The method of claim 21, wherein the toxicant is made accessible during a time-limited exposure interval and the recognition technology revalidates the authorization condition during the exposure interval.</x:v>
      </x:c>
      <x:c r="G29" s="26" t="str">
        <x:v>drafted</x:v>
      </x:c>
      <x:c r="H29" s="26" t="str">
        <x:v>prior-art risk; regulatory/deployment issue</x:v>
      </x:c>
      <x:c r="I29" s="28" t="n">
        <x:v>46268</x:v>
      </x:c>
      <x:c r="J29" s="26" t="str">
        <x:v>Provisional/nonprovisional conversion claim probe; not a filing ceiling</x:v>
      </x:c>
      <x:c r="K29" s="26" t="str">
        <x:v>[0030]-[0058]; [0095]-[0180]; [0240]-[0260]</x:v>
      </x:c>
    </x:row>
    <x:row r="30">
      <x:c r="A30" s="26" t="n">
        <x:v>29</x:v>
      </x:c>
      <x:c r="B30" s="26" t="str">
        <x:v>P-U1</x:v>
      </x:c>
      <x:c r="C30" s="26" t="str">
        <x:v>dependent</x:v>
      </x:c>
      <x:c r="D30" s="26" t="n">
        <x:v>21</x:v>
      </x:c>
      <x:c r="E30" s="26" t="str">
        <x:v>Audit log</x:v>
      </x:c>
      <x:c r="F30" s="26" t="str">
        <x:v>The method of claim 21, further comprising storing an event record including at least a time, one or more recognition outputs, an authorization state, and a state of the access-control device or dispensing device associated with an exposure event.</x:v>
      </x:c>
      <x:c r="G30" s="26" t="str">
        <x:v>drafted</x:v>
      </x:c>
      <x:c r="H30" s="26" t="str">
        <x:v>prior-art risk; regulatory/deployment issue</x:v>
      </x:c>
      <x:c r="I30" s="28" t="n">
        <x:v>46268</x:v>
      </x:c>
      <x:c r="J30" s="26" t="str">
        <x:v>Provisional/nonprovisional conversion claim probe; not a filing ceiling</x:v>
      </x:c>
      <x:c r="K30" s="26" t="str">
        <x:v>[0030]-[0058]; [0095]-[0180]; [0240]-[0260]</x:v>
      </x:c>
    </x:row>
    <x:row r="31">
      <x:c r="A31" s="26" t="n">
        <x:v>30</x:v>
      </x:c>
      <x:c r="B31" s="26" t="str">
        <x:v>P-U1</x:v>
      </x:c>
      <x:c r="C31" s="26" t="str">
        <x:v>dependent</x:v>
      </x:c>
      <x:c r="D31" s="26" t="n">
        <x:v>21</x:v>
      </x:c>
      <x:c r="E31" s="26" t="str">
        <x:v>Human authorization alternative</x:v>
      </x:c>
      <x:c r="F31" s="26" t="str">
        <x:v>The method of claim 21, wherein transitioning to the state that permits exposure additionally requires an authorization input from a human operator after presentation to the human operator of sensor data or recognition results associated with the one or more feral pigs.</x:v>
      </x:c>
      <x:c r="G31" s="26" t="str">
        <x:v>drafted</x:v>
      </x:c>
      <x:c r="H31" s="26" t="str">
        <x:v>prior-art risk; regulatory/deployment issue</x:v>
      </x:c>
      <x:c r="I31" s="28" t="n">
        <x:v>46268</x:v>
      </x:c>
      <x:c r="J31" s="26" t="str">
        <x:v>Provisional/nonprovisional conversion claim probe; not a filing ceiling</x:v>
      </x:c>
      <x:c r="K31" s="26" t="str">
        <x:v>[0030]-[0058]; [0095]-[0180]; [0240]-[0260]</x:v>
      </x:c>
    </x:row>
    <x:row r="32">
      <x:c r="A32" s="26" t="n">
        <x:v>31</x:v>
      </x:c>
      <x:c r="B32" s="26" t="str">
        <x:v>P-U1</x:v>
      </x:c>
      <x:c r="C32" s="26" t="str">
        <x:v>independent</x:v>
      </x:c>
      <x:c r="D32" s="26"/>
      <x:c r="E32" s="26" t="str">
        <x:v>Species-selective toxicant administration</x:v>
      </x:c>
      <x:c r="F32" s="26" t="str">
        <x:v>A method of controlling feral pigs using a species-selective toxicant, comprising: acquiring audio data, video data, or both from a treatment location; using recognition technology to determine that at least one feral pig is present at the treatment location; determining that an administration condition is satisfied; and in response to satisfaction of the administration condition, administering to the at least one feral pig a toxicant configured or formulated to have a greater toxic effect in feral pigs than in at least one selected non-target animal species under intended use conditions.</x:v>
      </x:c>
      <x:c r="G32" s="26" t="str">
        <x:v>drafted</x:v>
      </x:c>
      <x:c r="H32" s="26" t="str">
        <x:v>prior-art risk; regulatory/deployment issue</x:v>
      </x:c>
      <x:c r="I32" s="28" t="n">
        <x:v>46268</x:v>
      </x:c>
      <x:c r="J32" s="26" t="str">
        <x:v>Provisional/nonprovisional conversion claim probe; not a filing ceiling</x:v>
      </x:c>
      <x:c r="K32" s="26" t="str">
        <x:v>[0030]-[0058]; [0095]-[0180]; [0240]-[0260]</x:v>
      </x:c>
    </x:row>
    <x:row r="33">
      <x:c r="A33" s="26" t="n">
        <x:v>32</x:v>
      </x:c>
      <x:c r="B33" s="26" t="str">
        <x:v>P-U1</x:v>
      </x:c>
      <x:c r="C33" s="26" t="str">
        <x:v>dependent</x:v>
      </x:c>
      <x:c r="D33" s="26" t="n">
        <x:v>31</x:v>
      </x:c>
      <x:c r="E33" s="26" t="str">
        <x:v>Selective toxicity plus selective delivery</x:v>
      </x:c>
      <x:c r="F33" s="26" t="str">
        <x:v>The method of claim 31, further comprising selectively controlling access to or dispensing of the species-selective toxicant based on the recognition technology, such that species-selective toxicological properties and recognition-gated delivery are used together.</x:v>
      </x:c>
      <x:c r="G33" s="26" t="str">
        <x:v>drafted</x:v>
      </x:c>
      <x:c r="H33" s="26" t="str">
        <x:v>prior-art risk; regulatory/deployment issue</x:v>
      </x:c>
      <x:c r="I33" s="28" t="n">
        <x:v>46268</x:v>
      </x:c>
      <x:c r="J33" s="26" t="str">
        <x:v>Provisional/nonprovisional conversion claim probe; not a filing ceiling</x:v>
      </x:c>
      <x:c r="K33" s="26" t="str">
        <x:v>[0030]-[0058]; [0095]-[0180]; [0240]-[0260]</x:v>
      </x:c>
    </x:row>
    <x:row r="34">
      <x:c r="A34" s="26" t="n">
        <x:v>33</x:v>
      </x:c>
      <x:c r="B34" s="26" t="str">
        <x:v>P-U1</x:v>
      </x:c>
      <x:c r="C34" s="26" t="str">
        <x:v>dependent</x:v>
      </x:c>
      <x:c r="D34" s="26" t="n">
        <x:v>31</x:v>
      </x:c>
      <x:c r="E34" s="26" t="str">
        <x:v>Feed carrier</x:v>
      </x:c>
      <x:c r="F34" s="26" t="str">
        <x:v>The method of claim 31, wherein the species-selective toxicant is carried by, mixed with, coated on, encapsulated in, or otherwise associated with a feed or bait.</x:v>
      </x:c>
      <x:c r="G34" s="26" t="str">
        <x:v>drafted</x:v>
      </x:c>
      <x:c r="H34" s="26" t="str">
        <x:v>prior-art risk; regulatory/deployment issue</x:v>
      </x:c>
      <x:c r="I34" s="28" t="n">
        <x:v>46268</x:v>
      </x:c>
      <x:c r="J34" s="26" t="str">
        <x:v>Provisional/nonprovisional conversion claim probe; not a filing ceiling</x:v>
      </x:c>
      <x:c r="K34" s="26" t="str">
        <x:v>[0030]-[0058]; [0095]-[0180]; [0240]-[0260]</x:v>
      </x:c>
    </x:row>
    <x:row r="35">
      <x:c r="A35" s="26" t="n">
        <x:v>34</x:v>
      </x:c>
      <x:c r="B35" s="26" t="str">
        <x:v>P-U1</x:v>
      </x:c>
      <x:c r="C35" s="26" t="str">
        <x:v>dependent</x:v>
      </x:c>
      <x:c r="D35" s="26" t="n">
        <x:v>31</x:v>
      </x:c>
      <x:c r="E35" s="26" t="str">
        <x:v>Multimodal recognition</x:v>
      </x:c>
      <x:c r="F35" s="26" t="str">
        <x:v>The method of claim 31, wherein determining that the at least one feral pig is present is based on a combination of audio recognition and video recognition.</x:v>
      </x:c>
      <x:c r="G35" s="26" t="str">
        <x:v>drafted</x:v>
      </x:c>
      <x:c r="H35" s="26" t="str">
        <x:v>prior-art risk; regulatory/deployment issue</x:v>
      </x:c>
      <x:c r="I35" s="28" t="n">
        <x:v>46268</x:v>
      </x:c>
      <x:c r="J35" s="26" t="str">
        <x:v>Provisional/nonprovisional conversion claim probe; not a filing ceiling</x:v>
      </x:c>
      <x:c r="K35" s="26" t="str">
        <x:v>[0030]-[0058]; [0095]-[0180]; [0240]-[0260]</x:v>
      </x:c>
    </x:row>
    <x:row r="36">
      <x:c r="A36" s="26" t="n">
        <x:v>35</x:v>
      </x:c>
      <x:c r="B36" s="26" t="str">
        <x:v>P-U1</x:v>
      </x:c>
      <x:c r="C36" s="26" t="str">
        <x:v>dependent</x:v>
      </x:c>
      <x:c r="D36" s="26" t="n">
        <x:v>31</x:v>
      </x:c>
      <x:c r="E36" s="26" t="str">
        <x:v>Local population learning</x:v>
      </x:c>
      <x:c r="F36" s="26" t="str">
        <x:v>The method of claim 31, further comprising learning, over a plurality of observations, a local feral pig population associated with the treatment location and maintaining a data structure representing members of the local feral pig population.</x:v>
      </x:c>
      <x:c r="G36" s="26" t="str">
        <x:v>drafted</x:v>
      </x:c>
      <x:c r="H36" s="26" t="str">
        <x:v>prior-art risk; written-description gap; enablement gap; 112(b); regulatory/deployment issue</x:v>
      </x:c>
      <x:c r="I36" s="28" t="n">
        <x:v>46268</x:v>
      </x:c>
      <x:c r="J36" s="26" t="str">
        <x:v>Provisional/nonprovisional conversion claim probe; not a filing ceiling</x:v>
      </x:c>
      <x:c r="K36" s="26" t="str">
        <x:v>[0030]-[0058]; [0095]-[0180]; [0240]-[0260]</x:v>
      </x:c>
    </x:row>
    <x:row r="37">
      <x:c r="A37" s="26" t="n">
        <x:v>36</x:v>
      </x:c>
      <x:c r="B37" s="26" t="str">
        <x:v>P-U1</x:v>
      </x:c>
      <x:c r="C37" s="26" t="str">
        <x:v>dependent</x:v>
      </x:c>
      <x:c r="D37" s="26" t="n">
        <x:v>31</x:v>
      </x:c>
      <x:c r="E37" s="26" t="str">
        <x:v>Population completeness</x:v>
      </x:c>
      <x:c r="F37" s="26" t="str">
        <x:v>The method of claim 31, wherein the administration condition includes a requirement that each active member represented in the data structure be detected within a selected current observation interval.</x:v>
      </x:c>
      <x:c r="G37" s="26" t="str">
        <x:v>drafted</x:v>
      </x:c>
      <x:c r="H37" s="26" t="str">
        <x:v>prior-art risk; written-description gap; enablement gap; 112(b); regulatory/deployment issue</x:v>
      </x:c>
      <x:c r="I37" s="28" t="n">
        <x:v>46268</x:v>
      </x:c>
      <x:c r="J37" s="26" t="str">
        <x:v>Provisional/nonprovisional conversion claim probe; not a filing ceiling</x:v>
      </x:c>
      <x:c r="K37" s="26" t="str">
        <x:v>[0030]-[0058]; [0095]-[0180]; [0240]-[0260]</x:v>
      </x:c>
    </x:row>
    <x:row r="38">
      <x:c r="A38" s="26" t="n">
        <x:v>37</x:v>
      </x:c>
      <x:c r="B38" s="26" t="str">
        <x:v>P-U1</x:v>
      </x:c>
      <x:c r="C38" s="26" t="str">
        <x:v>dependent</x:v>
      </x:c>
      <x:c r="D38" s="26" t="n">
        <x:v>31</x:v>
      </x:c>
      <x:c r="E38" s="26" t="str">
        <x:v>Non-target veto</x:v>
      </x:c>
      <x:c r="F38" s="26" t="str">
        <x:v>The method of claim 31, wherein administration is inhibited when the recognition technology detects a non-target animal or produces an unknown classification within a treatment zone.</x:v>
      </x:c>
      <x:c r="G38" s="26" t="str">
        <x:v>drafted</x:v>
      </x:c>
      <x:c r="H38" s="26" t="str">
        <x:v>prior-art risk; regulatory/deployment issue</x:v>
      </x:c>
      <x:c r="I38" s="28" t="n">
        <x:v>46268</x:v>
      </x:c>
      <x:c r="J38" s="26" t="str">
        <x:v>Provisional/nonprovisional conversion claim probe; not a filing ceiling</x:v>
      </x:c>
      <x:c r="K38" s="26" t="str">
        <x:v>[0030]-[0058]; [0095]-[0180]; [0240]-[0260]</x:v>
      </x:c>
    </x:row>
    <x:row r="39">
      <x:c r="A39" s="26" t="n">
        <x:v>38</x:v>
      </x:c>
      <x:c r="B39" s="26" t="str">
        <x:v>P-U1</x:v>
      </x:c>
      <x:c r="C39" s="26" t="str">
        <x:v>dependent</x:v>
      </x:c>
      <x:c r="D39" s="26" t="n">
        <x:v>31</x:v>
      </x:c>
      <x:c r="E39" s="26" t="str">
        <x:v>Protected access</x:v>
      </x:c>
      <x:c r="F39" s="26" t="str">
        <x:v>The method of claim 31, wherein administering comprises opening or enabling an access-controlled feeder, receptacle, compartment, or dispenser and subsequently closing or disabling the feeder, receptacle, compartment, or dispenser after an authorization interval.</x:v>
      </x:c>
      <x:c r="G39" s="26" t="str">
        <x:v>drafted</x:v>
      </x:c>
      <x:c r="H39" s="26" t="str">
        <x:v>prior-art risk; regulatory/deployment issue</x:v>
      </x:c>
      <x:c r="I39" s="28" t="n">
        <x:v>46268</x:v>
      </x:c>
      <x:c r="J39" s="26" t="str">
        <x:v>Provisional/nonprovisional conversion claim probe; not a filing ceiling</x:v>
      </x:c>
      <x:c r="K39" s="26" t="str">
        <x:v>[0030]-[0058]; [0095]-[0180]; [0240]-[0260]</x:v>
      </x:c>
    </x:row>
    <x:row r="40">
      <x:c r="A40" s="26" t="n">
        <x:v>39</x:v>
      </x:c>
      <x:c r="B40" s="26" t="str">
        <x:v>P-U1</x:v>
      </x:c>
      <x:c r="C40" s="26" t="str">
        <x:v>dependent</x:v>
      </x:c>
      <x:c r="D40" s="26" t="n">
        <x:v>31</x:v>
      </x:c>
      <x:c r="E40" s="26" t="str">
        <x:v>Pretraining and local adaptation</x:v>
      </x:c>
      <x:c r="F40" s="26" t="str">
        <x:v>The method of claim 31, wherein the recognition technology comprises a machine-learning model pretrained using feral-pig and non-target-fauna training examples and subsequently adapted using data collected at or near the treatment location.</x:v>
      </x:c>
      <x:c r="G40" s="26" t="str">
        <x:v>drafted</x:v>
      </x:c>
      <x:c r="H40" s="26" t="str">
        <x:v>prior-art risk; regulatory/deployment issue</x:v>
      </x:c>
      <x:c r="I40" s="28" t="n">
        <x:v>46268</x:v>
      </x:c>
      <x:c r="J40" s="26" t="str">
        <x:v>Provisional/nonprovisional conversion claim probe; not a filing ceiling</x:v>
      </x:c>
      <x:c r="K40" s="26" t="str">
        <x:v>[0030]-[0058]; [0095]-[0180]; [0240]-[0260]</x:v>
      </x:c>
    </x:row>
    <x:row r="41">
      <x:c r="A41" s="26" t="n">
        <x:v>40</x:v>
      </x:c>
      <x:c r="B41" s="26" t="str">
        <x:v>P-U1</x:v>
      </x:c>
      <x:c r="C41" s="26" t="str">
        <x:v>dependent</x:v>
      </x:c>
      <x:c r="D41" s="26" t="n">
        <x:v>31</x:v>
      </x:c>
      <x:c r="E41" s="26" t="str">
        <x:v>Combination treatment</x:v>
      </x:c>
      <x:c r="F41" s="26" t="str">
        <x:v>The method of claim 31, wherein the species-selective toxicant is administered in combination or in temporal sequence with a reproductive-control treatment or a second population-control treatment.</x:v>
      </x:c>
      <x:c r="G41" s="26" t="str">
        <x:v>drafted</x:v>
      </x:c>
      <x:c r="H41" s="26" t="str">
        <x:v>prior-art risk; regulatory/deployment issue</x:v>
      </x:c>
      <x:c r="I41" s="28" t="n">
        <x:v>46268</x:v>
      </x:c>
      <x:c r="J41" s="26" t="str">
        <x:v>Provisional/nonprovisional conversion claim probe; not a filing ceiling</x:v>
      </x:c>
      <x:c r="K41" s="26" t="str">
        <x:v>[0030]-[0058]; [0095]-[0180]; [0240]-[0260]</x:v>
      </x:c>
    </x:row>
    <x:row r="42">
      <x:c r="A42" s="26" t="n">
        <x:v>41</x:v>
      </x:c>
      <x:c r="B42" s="26" t="str">
        <x:v>P-U1</x:v>
      </x:c>
      <x:c r="C42" s="26" t="str">
        <x:v>independent</x:v>
      </x:c>
      <x:c r="D42" s="26"/>
      <x:c r="E42" s="26" t="str">
        <x:v>Recognition-gated reproductive control</x:v>
      </x:c>
      <x:c r="F42" s="26" t="str">
        <x:v>A method of reducing reproduction in a feral pig population, comprising: monitoring a geographic area using audio sensing, video sensing, or both; processing sensor data using recognition technology to identify one or more feral pigs; based at least in part on the identification, selectively administering a reproductive-control treatment to at least one identified feral pig, the reproductive-control treatment being configured to reduce fertility, mating success, conception, gestation success, gamete production, or other reproductive success without requiring immediate death of the at least one identified feral pig; and inhibiting administration when a non-target condition is detected.</x:v>
      </x:c>
      <x:c r="G42" s="26" t="str">
        <x:v>drafted</x:v>
      </x:c>
      <x:c r="H42" s="26" t="str">
        <x:v>prior-art risk; written-description gap; regulatory/deployment issue</x:v>
      </x:c>
      <x:c r="I42" s="28" t="n">
        <x:v>46268</x:v>
      </x:c>
      <x:c r="J42" s="26" t="str">
        <x:v>Provisional/nonprovisional conversion claim probe; not a filing ceiling</x:v>
      </x:c>
      <x:c r="K42" s="26" t="str">
        <x:v>[0030]-[0058]; [0095]-[0180]; reproductive-control embodiment to expand</x:v>
      </x:c>
    </x:row>
    <x:row r="43">
      <x:c r="A43" s="26" t="n">
        <x:v>42</x:v>
      </x:c>
      <x:c r="B43" s="26" t="str">
        <x:v>P-U1</x:v>
      </x:c>
      <x:c r="C43" s="26" t="str">
        <x:v>dependent</x:v>
      </x:c>
      <x:c r="D43" s="26" t="n">
        <x:v>41</x:v>
      </x:c>
      <x:c r="E43" s="26" t="str">
        <x:v>Fertility-reducing treatment</x:v>
      </x:c>
      <x:c r="F43" s="26" t="str">
        <x:v>The method of claim 41, wherein the reproductive-control treatment comprises a contraceptive, sterilizing treatment, fertility-reducing treatment, or other treatment that reduces reproductive capacity of a treated feral pig.</x:v>
      </x:c>
      <x:c r="G43" s="26" t="str">
        <x:v>drafted</x:v>
      </x:c>
      <x:c r="H43" s="26" t="str">
        <x:v>prior-art risk; written-description gap; regulatory/deployment issue</x:v>
      </x:c>
      <x:c r="I43" s="28" t="n">
        <x:v>46268</x:v>
      </x:c>
      <x:c r="J43" s="26" t="str">
        <x:v>Provisional/nonprovisional conversion claim probe; not a filing ceiling</x:v>
      </x:c>
      <x:c r="K43" s="26" t="str">
        <x:v>[0030]-[0058]; [0095]-[0180]; reproductive-control embodiment to expand</x:v>
      </x:c>
    </x:row>
    <x:row r="44">
      <x:c r="A44" s="26" t="n">
        <x:v>43</x:v>
      </x:c>
      <x:c r="B44" s="26" t="str">
        <x:v>P-U1</x:v>
      </x:c>
      <x:c r="C44" s="26" t="str">
        <x:v>dependent</x:v>
      </x:c>
      <x:c r="D44" s="26" t="n">
        <x:v>41</x:v>
      </x:c>
      <x:c r="E44" s="26" t="str">
        <x:v>Feed-mediated reproductive control</x:v>
      </x:c>
      <x:c r="F44" s="26" t="str">
        <x:v>The method of claim 41, wherein the reproductive-control treatment is carried by, mixed with, coated on, encapsulated in, or otherwise associated with a feed selectively made available to feral pigs.</x:v>
      </x:c>
      <x:c r="G44" s="26" t="str">
        <x:v>drafted</x:v>
      </x:c>
      <x:c r="H44" s="26" t="str">
        <x:v>prior-art risk; written-description gap; regulatory/deployment issue</x:v>
      </x:c>
      <x:c r="I44" s="28" t="n">
        <x:v>46268</x:v>
      </x:c>
      <x:c r="J44" s="26" t="str">
        <x:v>Provisional/nonprovisional conversion claim probe; not a filing ceiling</x:v>
      </x:c>
      <x:c r="K44" s="26" t="str">
        <x:v>[0030]-[0058]; [0095]-[0180]; reproductive-control embodiment to expand</x:v>
      </x:c>
    </x:row>
    <x:row r="45">
      <x:c r="A45" s="26" t="n">
        <x:v>44</x:v>
      </x:c>
      <x:c r="B45" s="26" t="str">
        <x:v>P-U1</x:v>
      </x:c>
      <x:c r="C45" s="26" t="str">
        <x:v>dependent</x:v>
      </x:c>
      <x:c r="D45" s="26" t="n">
        <x:v>41</x:v>
      </x:c>
      <x:c r="E45" s="26" t="str">
        <x:v>Pretrained recognition</x:v>
      </x:c>
      <x:c r="F45" s="26" t="str">
        <x:v>The method of claim 41, wherein the recognition technology comprises a machine-learning model pretrained to distinguish feral pigs from one or more non-target animal species expected in the geographic area.</x:v>
      </x:c>
      <x:c r="G45" s="26" t="str">
        <x:v>drafted</x:v>
      </x:c>
      <x:c r="H45" s="26" t="str">
        <x:v>prior-art risk; written-description gap; regulatory/deployment issue</x:v>
      </x:c>
      <x:c r="I45" s="28" t="n">
        <x:v>46268</x:v>
      </x:c>
      <x:c r="J45" s="26" t="str">
        <x:v>Provisional/nonprovisional conversion claim probe; not a filing ceiling</x:v>
      </x:c>
      <x:c r="K45" s="26" t="str">
        <x:v>[0030]-[0058]; [0095]-[0180]; reproductive-control embodiment to expand</x:v>
      </x:c>
    </x:row>
    <x:row r="46">
      <x:c r="A46" s="26" t="n">
        <x:v>45</x:v>
      </x:c>
      <x:c r="B46" s="26" t="str">
        <x:v>P-U1</x:v>
      </x:c>
      <x:c r="C46" s="26" t="str">
        <x:v>dependent</x:v>
      </x:c>
      <x:c r="D46" s="26" t="n">
        <x:v>41</x:v>
      </x:c>
      <x:c r="E46" s="26" t="str">
        <x:v>Locally trained model</x:v>
      </x:c>
      <x:c r="F46" s="26" t="str">
        <x:v>The method of claim 41, wherein the recognition technology comprises a machine-learning model trained or adapted using locally collected audio data, video data, or both representing feral pigs of the feral pig population.</x:v>
      </x:c>
      <x:c r="G46" s="26" t="str">
        <x:v>drafted</x:v>
      </x:c>
      <x:c r="H46" s="26" t="str">
        <x:v>prior-art risk; written-description gap; regulatory/deployment issue</x:v>
      </x:c>
      <x:c r="I46" s="28" t="n">
        <x:v>46268</x:v>
      </x:c>
      <x:c r="J46" s="26" t="str">
        <x:v>Provisional/nonprovisional conversion claim probe; not a filing ceiling</x:v>
      </x:c>
      <x:c r="K46" s="26" t="str">
        <x:v>[0030]-[0058]; [0095]-[0180]; reproductive-control embodiment to expand</x:v>
      </x:c>
    </x:row>
    <x:row r="47">
      <x:c r="A47" s="26" t="n">
        <x:v>46</x:v>
      </x:c>
      <x:c r="B47" s="26" t="str">
        <x:v>P-U1</x:v>
      </x:c>
      <x:c r="C47" s="26" t="str">
        <x:v>dependent</x:v>
      </x:c>
      <x:c r="D47" s="26" t="n">
        <x:v>41</x:v>
      </x:c>
      <x:c r="E47" s="26" t="str">
        <x:v>Population registry</x:v>
      </x:c>
      <x:c r="F47" s="26" t="str">
        <x:v>The method of claim 41, further comprising maintaining a working population set representing feral pigs repeatedly observed in the geographic area.</x:v>
      </x:c>
      <x:c r="G47" s="26" t="str">
        <x:v>drafted</x:v>
      </x:c>
      <x:c r="H47" s="26" t="str">
        <x:v>prior-art risk; written-description gap; enablement gap; 112(b); regulatory/deployment issue</x:v>
      </x:c>
      <x:c r="I47" s="28" t="n">
        <x:v>46268</x:v>
      </x:c>
      <x:c r="J47" s="26" t="str">
        <x:v>Provisional/nonprovisional conversion claim probe; not a filing ceiling</x:v>
      </x:c>
      <x:c r="K47" s="26" t="str">
        <x:v>[0030]-[0058]; [0095]-[0180]; reproductive-control embodiment to expand</x:v>
      </x:c>
    </x:row>
    <x:row r="48">
      <x:c r="A48" s="26" t="n">
        <x:v>47</x:v>
      </x:c>
      <x:c r="B48" s="26" t="str">
        <x:v>P-U1</x:v>
      </x:c>
      <x:c r="C48" s="26" t="str">
        <x:v>dependent</x:v>
      </x:c>
      <x:c r="D48" s="26" t="n">
        <x:v>41</x:v>
      </x:c>
      <x:c r="E48" s="26" t="str">
        <x:v>Treat all active members</x:v>
      </x:c>
      <x:c r="F48" s="26" t="str">
        <x:v>The method of claim 41, wherein administration is authorized after a population-presence criterion indicates that each active member of the working population set is currently present or has satisfied a selected treatment-status criterion.</x:v>
      </x:c>
      <x:c r="G48" s="26" t="str">
        <x:v>drafted</x:v>
      </x:c>
      <x:c r="H48" s="26" t="str">
        <x:v>prior-art risk; written-description gap; enablement gap; 112(b); regulatory/deployment issue</x:v>
      </x:c>
      <x:c r="I48" s="28" t="n">
        <x:v>46268</x:v>
      </x:c>
      <x:c r="J48" s="26" t="str">
        <x:v>Provisional/nonprovisional conversion claim probe; not a filing ceiling</x:v>
      </x:c>
      <x:c r="K48" s="26" t="str">
        <x:v>[0030]-[0058]; [0095]-[0180]; reproductive-control embodiment to expand</x:v>
      </x:c>
    </x:row>
    <x:row r="49">
      <x:c r="A49" s="26" t="n">
        <x:v>48</x:v>
      </x:c>
      <x:c r="B49" s="26" t="str">
        <x:v>P-U1</x:v>
      </x:c>
      <x:c r="C49" s="26" t="str">
        <x:v>dependent</x:v>
      </x:c>
      <x:c r="D49" s="26" t="n">
        <x:v>41</x:v>
      </x:c>
      <x:c r="E49" s="26" t="str">
        <x:v>Repeated treatment status</x:v>
      </x:c>
      <x:c r="F49" s="26" t="str">
        <x:v>The method of claim 41, further comprising maintaining, for respective members of the working population set, a treatment-status record and selectively administering the reproductive-control treatment over multiple visits until a selected treatment criterion is satisfied for the respective members.</x:v>
      </x:c>
      <x:c r="G49" s="26" t="str">
        <x:v>drafted</x:v>
      </x:c>
      <x:c r="H49" s="26" t="str">
        <x:v>prior-art risk; written-description gap; regulatory/deployment issue</x:v>
      </x:c>
      <x:c r="I49" s="28" t="n">
        <x:v>46268</x:v>
      </x:c>
      <x:c r="J49" s="26" t="str">
        <x:v>Provisional/nonprovisional conversion claim probe; not a filing ceiling</x:v>
      </x:c>
      <x:c r="K49" s="26" t="str">
        <x:v>[0030]-[0058]; [0095]-[0180]; reproductive-control embodiment to expand</x:v>
      </x:c>
    </x:row>
    <x:row r="50">
      <x:c r="A50" s="26" t="n">
        <x:v>49</x:v>
      </x:c>
      <x:c r="B50" s="26" t="str">
        <x:v>P-U1</x:v>
      </x:c>
      <x:c r="C50" s="26" t="str">
        <x:v>dependent</x:v>
      </x:c>
      <x:c r="D50" s="26" t="n">
        <x:v>41</x:v>
      </x:c>
      <x:c r="E50" s="26" t="str">
        <x:v>Class-based targeting</x:v>
      </x:c>
      <x:c r="F50" s="26" t="str">
        <x:v>The method of claim 41, wherein the recognition technology further estimates a sex, age class, size class, reproductive status, or other biological class of a detected feral pig and the reproductive-control treatment is selectively administered based at least in part on the estimated biological class.</x:v>
      </x:c>
      <x:c r="G50" s="26" t="str">
        <x:v>drafted</x:v>
      </x:c>
      <x:c r="H50" s="26" t="str">
        <x:v>prior-art risk; written-description gap; regulatory/deployment issue</x:v>
      </x:c>
      <x:c r="I50" s="28" t="n">
        <x:v>46268</x:v>
      </x:c>
      <x:c r="J50" s="26" t="str">
        <x:v>Provisional/nonprovisional conversion claim probe; not a filing ceiling</x:v>
      </x:c>
      <x:c r="K50" s="26" t="str">
        <x:v>[0030]-[0058]; [0095]-[0180]; reproductive-control embodiment to expand</x:v>
      </x:c>
    </x:row>
    <x:row r="51">
      <x:c r="A51" s="26" t="n">
        <x:v>50</x:v>
      </x:c>
      <x:c r="B51" s="26" t="str">
        <x:v>P-U1</x:v>
      </x:c>
      <x:c r="C51" s="26" t="str">
        <x:v>dependent</x:v>
      </x:c>
      <x:c r="D51" s="26" t="n">
        <x:v>41</x:v>
      </x:c>
      <x:c r="E51" s="26" t="str">
        <x:v>Combined reproductive and lethal control</x:v>
      </x:c>
      <x:c r="F51" s="26" t="str">
        <x:v>The method of claim 41, further comprising selectively administering a lethal population-control treatment to one or more feral pigs in coordination with the reproductive-control treatment.</x:v>
      </x:c>
      <x:c r="G51" s="26" t="str">
        <x:v>drafted</x:v>
      </x:c>
      <x:c r="H51" s="26" t="str">
        <x:v>prior-art risk; written-description gap; regulatory/deployment issue</x:v>
      </x:c>
      <x:c r="I51" s="28" t="n">
        <x:v>46268</x:v>
      </x:c>
      <x:c r="J51" s="26" t="str">
        <x:v>Provisional/nonprovisional conversion claim probe; not a filing ceiling</x:v>
      </x:c>
      <x:c r="K51" s="26" t="str">
        <x:v>[0030]-[0058]; [0095]-[0180]; reproductive-control embodiment to expand</x:v>
      </x:c>
    </x:row>
    <x:row r="52">
      <x:c r="A52" s="26" t="n">
        <x:v>51</x:v>
      </x:c>
      <x:c r="B52" s="26" t="str">
        <x:v>P-U1</x:v>
      </x:c>
      <x:c r="C52" s="26" t="str">
        <x:v>independent</x:v>
      </x:c>
      <x:c r="D52" s="26"/>
      <x:c r="E52" s="26" t="str">
        <x:v>Recognition-gated genetic modification control</x:v>
      </x:c>
      <x:c r="F52" s="26" t="str">
        <x:v>A method of controlling a feral pig population using a genetic-modification treatment, comprising: obtaining audio data, video data, or both from a monitored location; processing the audio data, the video data, or both using recognition technology to identify one or more feral pigs; determining, based at least in part on the identification, that a delivery condition is satisfied; and selectively administering to at least one identified feral pig a genetic-modification treatment configured to alter genetic material or gene expression in a manner intended to reduce viability, fertility, reproductive success, propagation of a genetic trait, or population persistence of feral pigs.</x:v>
      </x:c>
      <x:c r="G52" s="26" t="str">
        <x:v>drafted</x:v>
      </x:c>
      <x:c r="H52" s="26" t="str">
        <x:v>prior-art risk; written-description gap; enablement gap; regulatory/deployment issue</x:v>
      </x:c>
      <x:c r="I52" s="28" t="n">
        <x:v>46268</x:v>
      </x:c>
      <x:c r="J52" s="26" t="str">
        <x:v>Provisional/nonprovisional conversion claim probe; not a filing ceiling</x:v>
      </x:c>
      <x:c r="K52" s="26" t="str">
        <x:v>[0030]-[0058]; [0095]-[0180]; genetic-modification embodiment to expand</x:v>
      </x:c>
    </x:row>
    <x:row r="53">
      <x:c r="A53" s="26" t="n">
        <x:v>52</x:v>
      </x:c>
      <x:c r="B53" s="26" t="str">
        <x:v>P-U1</x:v>
      </x:c>
      <x:c r="C53" s="26" t="str">
        <x:v>dependent</x:v>
      </x:c>
      <x:c r="D53" s="26" t="n">
        <x:v>51</x:v>
      </x:c>
      <x:c r="E53" s="26" t="str">
        <x:v>Somatic or heritable effect</x:v>
      </x:c>
      <x:c r="F53" s="26" t="str">
        <x:v>The method of claim 51, wherein the genetic-modification treatment is configured to produce a somatic effect, a heritable effect, or both, associated with reduced survival or reproduction of feral pigs.</x:v>
      </x:c>
      <x:c r="G53" s="26" t="str">
        <x:v>drafted</x:v>
      </x:c>
      <x:c r="H53" s="26" t="str">
        <x:v>prior-art risk; written-description gap; enablement gap; regulatory/deployment issue</x:v>
      </x:c>
      <x:c r="I53" s="28" t="n">
        <x:v>46268</x:v>
      </x:c>
      <x:c r="J53" s="26" t="str">
        <x:v>Provisional/nonprovisional conversion claim probe; not a filing ceiling</x:v>
      </x:c>
      <x:c r="K53" s="26" t="str">
        <x:v>[0030]-[0058]; [0095]-[0180]; genetic-modification embodiment to expand</x:v>
      </x:c>
    </x:row>
    <x:row r="54">
      <x:c r="A54" s="26" t="n">
        <x:v>53</x:v>
      </x:c>
      <x:c r="B54" s="26" t="str">
        <x:v>P-U1</x:v>
      </x:c>
      <x:c r="C54" s="26" t="str">
        <x:v>dependent</x:v>
      </x:c>
      <x:c r="D54" s="26" t="n">
        <x:v>51</x:v>
      </x:c>
      <x:c r="E54" s="26" t="str">
        <x:v>Genetic material or expression alteration</x:v>
      </x:c>
      <x:c r="F54" s="26" t="str">
        <x:v>The method of claim 51, wherein the genetic-modification treatment comprises a biological or molecular agent configured to alter genetic material, regulation of gene expression, or expression of one or more gene products in a treated feral pig.</x:v>
      </x:c>
      <x:c r="G54" s="26" t="str">
        <x:v>drafted</x:v>
      </x:c>
      <x:c r="H54" s="26" t="str">
        <x:v>prior-art risk; written-description gap; enablement gap; regulatory/deployment issue</x:v>
      </x:c>
      <x:c r="I54" s="28" t="n">
        <x:v>46268</x:v>
      </x:c>
      <x:c r="J54" s="26" t="str">
        <x:v>Provisional/nonprovisional conversion claim probe; not a filing ceiling</x:v>
      </x:c>
      <x:c r="K54" s="26" t="str">
        <x:v>[0030]-[0058]; [0095]-[0180]; genetic-modification embodiment to expand</x:v>
      </x:c>
    </x:row>
    <x:row r="55">
      <x:c r="A55" s="26" t="n">
        <x:v>54</x:v>
      </x:c>
      <x:c r="B55" s="26" t="str">
        <x:v>P-U1</x:v>
      </x:c>
      <x:c r="C55" s="26" t="str">
        <x:v>dependent</x:v>
      </x:c>
      <x:c r="D55" s="26" t="n">
        <x:v>51</x:v>
      </x:c>
      <x:c r="E55" s="26" t="str">
        <x:v>Feed carrier</x:v>
      </x:c>
      <x:c r="F55" s="26" t="str">
        <x:v>The method of claim 51, wherein the genetic-modification treatment is carried by, mixed with, coated on, encapsulated in, or otherwise associated with a feed selectively made available to feral pigs.</x:v>
      </x:c>
      <x:c r="G55" s="26" t="str">
        <x:v>drafted</x:v>
      </x:c>
      <x:c r="H55" s="26" t="str">
        <x:v>prior-art risk; written-description gap; enablement gap; regulatory/deployment issue</x:v>
      </x:c>
      <x:c r="I55" s="28" t="n">
        <x:v>46268</x:v>
      </x:c>
      <x:c r="J55" s="26" t="str">
        <x:v>Provisional/nonprovisional conversion claim probe; not a filing ceiling</x:v>
      </x:c>
      <x:c r="K55" s="26" t="str">
        <x:v>[0030]-[0058]; [0095]-[0180]; genetic-modification embodiment to expand</x:v>
      </x:c>
    </x:row>
    <x:row r="56">
      <x:c r="A56" s="26" t="n">
        <x:v>55</x:v>
      </x:c>
      <x:c r="B56" s="26" t="str">
        <x:v>P-U1</x:v>
      </x:c>
      <x:c r="C56" s="26" t="str">
        <x:v>dependent</x:v>
      </x:c>
      <x:c r="D56" s="26" t="n">
        <x:v>51</x:v>
      </x:c>
      <x:c r="E56" s="26" t="str">
        <x:v>Species-recognition gate</x:v>
      </x:c>
      <x:c r="F56" s="26" t="str">
        <x:v>The method of claim 51, wherein the delivery condition requires a feral-pig classification satisfying a selected confidence criterion and requires absence of a non-target classification satisfying a selected veto criterion.</x:v>
      </x:c>
      <x:c r="G56" s="26" t="str">
        <x:v>drafted</x:v>
      </x:c>
      <x:c r="H56" s="26" t="str">
        <x:v>prior-art risk; written-description gap; enablement gap; regulatory/deployment issue</x:v>
      </x:c>
      <x:c r="I56" s="28" t="n">
        <x:v>46268</x:v>
      </x:c>
      <x:c r="J56" s="26" t="str">
        <x:v>Provisional/nonprovisional conversion claim probe; not a filing ceiling</x:v>
      </x:c>
      <x:c r="K56" s="26" t="str">
        <x:v>[0030]-[0058]; [0095]-[0180]; genetic-modification embodiment to expand</x:v>
      </x:c>
    </x:row>
    <x:row r="57">
      <x:c r="A57" s="26" t="n">
        <x:v>56</x:v>
      </x:c>
      <x:c r="B57" s="26" t="str">
        <x:v>P-U1</x:v>
      </x:c>
      <x:c r="C57" s="26" t="str">
        <x:v>dependent</x:v>
      </x:c>
      <x:c r="D57" s="26" t="n">
        <x:v>51</x:v>
      </x:c>
      <x:c r="E57" s="26" t="str">
        <x:v>Local population model</x:v>
      </x:c>
      <x:c r="F57" s="26" t="str">
        <x:v>The method of claim 51, further comprising learning, over a plurality of observations, a working population set representing a local feral pig population associated with the monitored location.</x:v>
      </x:c>
      <x:c r="G57" s="26" t="str">
        <x:v>drafted</x:v>
      </x:c>
      <x:c r="H57" s="26" t="str">
        <x:v>prior-art risk; written-description gap; enablement gap; 112(b); regulatory/deployment issue</x:v>
      </x:c>
      <x:c r="I57" s="28" t="n">
        <x:v>46268</x:v>
      </x:c>
      <x:c r="J57" s="26" t="str">
        <x:v>Provisional/nonprovisional conversion claim probe; not a filing ceiling</x:v>
      </x:c>
      <x:c r="K57" s="26" t="str">
        <x:v>[0030]-[0058]; [0095]-[0180]; genetic-modification embodiment to expand</x:v>
      </x:c>
    </x:row>
    <x:row r="58">
      <x:c r="A58" s="26" t="n">
        <x:v>57</x:v>
      </x:c>
      <x:c r="B58" s="26" t="str">
        <x:v>P-U1</x:v>
      </x:c>
      <x:c r="C58" s="26" t="str">
        <x:v>dependent</x:v>
      </x:c>
      <x:c r="D58" s="26" t="n">
        <x:v>51</x:v>
      </x:c>
      <x:c r="E58" s="26" t="str">
        <x:v>All active members criterion</x:v>
      </x:c>
      <x:c r="F58" s="26" t="str">
        <x:v>The method of claim 51, wherein the delivery condition includes a determination that each active member represented in the working population set is detected within a selected observation window.</x:v>
      </x:c>
      <x:c r="G58" s="26" t="str">
        <x:v>drafted</x:v>
      </x:c>
      <x:c r="H58" s="26" t="str">
        <x:v>prior-art risk; written-description gap; enablement gap; 112(b); regulatory/deployment issue</x:v>
      </x:c>
      <x:c r="I58" s="28" t="n">
        <x:v>46268</x:v>
      </x:c>
      <x:c r="J58" s="26" t="str">
        <x:v>Provisional/nonprovisional conversion claim probe; not a filing ceiling</x:v>
      </x:c>
      <x:c r="K58" s="26" t="str">
        <x:v>[0030]-[0058]; [0095]-[0180]; genetic-modification embodiment to expand</x:v>
      </x:c>
    </x:row>
    <x:row r="59">
      <x:c r="A59" s="26" t="n">
        <x:v>58</x:v>
      </x:c>
      <x:c r="B59" s="26" t="str">
        <x:v>P-U1</x:v>
      </x:c>
      <x:c r="C59" s="26" t="str">
        <x:v>dependent</x:v>
      </x:c>
      <x:c r="D59" s="26" t="n">
        <x:v>51</x:v>
      </x:c>
      <x:c r="E59" s="26" t="str">
        <x:v>Repeated administration</x:v>
      </x:c>
      <x:c r="F59" s="26" t="str">
        <x:v>The method of claim 51, further comprising maintaining a treatment-status record for respective members of the working population set and selectively repeating administration based on the treatment-status record.</x:v>
      </x:c>
      <x:c r="G59" s="26" t="str">
        <x:v>drafted</x:v>
      </x:c>
      <x:c r="H59" s="26" t="str">
        <x:v>prior-art risk; written-description gap; enablement gap; regulatory/deployment issue</x:v>
      </x:c>
      <x:c r="I59" s="28" t="n">
        <x:v>46268</x:v>
      </x:c>
      <x:c r="J59" s="26" t="str">
        <x:v>Provisional/nonprovisional conversion claim probe; not a filing ceiling</x:v>
      </x:c>
      <x:c r="K59" s="26" t="str">
        <x:v>[0030]-[0058]; [0095]-[0180]; genetic-modification embodiment to expand</x:v>
      </x:c>
    </x:row>
    <x:row r="60">
      <x:c r="A60" s="26" t="n">
        <x:v>59</x:v>
      </x:c>
      <x:c r="B60" s="26" t="str">
        <x:v>P-U1</x:v>
      </x:c>
      <x:c r="C60" s="26" t="str">
        <x:v>dependent</x:v>
      </x:c>
      <x:c r="D60" s="26" t="n">
        <x:v>51</x:v>
      </x:c>
      <x:c r="E60" s="26" t="str">
        <x:v>Combination with reproductive control</x:v>
      </x:c>
      <x:c r="F60" s="26" t="str">
        <x:v>The method of claim 51, wherein the genetic-modification treatment is administered in combination or in temporal sequence with a reproductive-control treatment.</x:v>
      </x:c>
      <x:c r="G60" s="26" t="str">
        <x:v>drafted</x:v>
      </x:c>
      <x:c r="H60" s="26" t="str">
        <x:v>prior-art risk; written-description gap; enablement gap; regulatory/deployment issue</x:v>
      </x:c>
      <x:c r="I60" s="28" t="n">
        <x:v>46268</x:v>
      </x:c>
      <x:c r="J60" s="26" t="str">
        <x:v>Provisional/nonprovisional conversion claim probe; not a filing ceiling</x:v>
      </x:c>
      <x:c r="K60" s="26" t="str">
        <x:v>[0030]-[0058]; [0095]-[0180]; genetic-modification embodiment to expand</x:v>
      </x:c>
    </x:row>
    <x:row r="61">
      <x:c r="A61" s="26" t="n">
        <x:v>60</x:v>
      </x:c>
      <x:c r="B61" s="26" t="str">
        <x:v>P-U1</x:v>
      </x:c>
      <x:c r="C61" s="26" t="str">
        <x:v>dependent</x:v>
      </x:c>
      <x:c r="D61" s="26" t="n">
        <x:v>51</x:v>
      </x:c>
      <x:c r="E61" s="26" t="str">
        <x:v>Safety veto</x:v>
      </x:c>
      <x:c r="F61" s="26" t="str">
        <x:v>The method of claim 51, wherein administration is inhibited in response to detection of a human, a domestic animal, a protected species, another non-target animal, an unknown animal classification, or a system fault.</x:v>
      </x:c>
      <x:c r="G61" s="26" t="str">
        <x:v>drafted</x:v>
      </x:c>
      <x:c r="H61" s="26" t="str">
        <x:v>prior-art risk; written-description gap; enablement gap; regulatory/deployment issue</x:v>
      </x:c>
      <x:c r="I61" s="28" t="n">
        <x:v>46268</x:v>
      </x:c>
      <x:c r="J61" s="26" t="str">
        <x:v>Provisional/nonprovisional conversion claim probe; not a filing ceiling</x:v>
      </x:c>
      <x:c r="K61" s="26" t="str">
        <x:v>[0030]-[0058]; [0095]-[0180]; genetic-modification embodiment to expand</x:v>
      </x:c>
    </x:row>
    <x:row r="62">
      <x:c r="A62" s="26" t="n">
        <x:v>61</x:v>
      </x:c>
      <x:c r="B62" s="26" t="str">
        <x:v>P-U1</x:v>
      </x:c>
      <x:c r="C62" s="26" t="str">
        <x:v>independent</x:v>
      </x:c>
      <x:c r="D62" s="26"/>
      <x:c r="E62" s="26" t="str">
        <x:v>Recognition-gated feed-mediated population control</x:v>
      </x:c>
      <x:c r="F62" s="26" t="str">
        <x:v>A method of controlling a feral pig population using feed, comprising: monitoring a feeding location using audio sensing, video sensing, or both; processing sensed data using recognition technology to distinguish feral pigs from non-target animals; and selectively providing feed at the feeding location based at least in part on recognition of feral pigs, wherein the feed is provided according to a population-control protocol configured to alter aggregation, location, return behavior, feeding behavior, physical condition, reproductive condition, survival, or susceptibility of feral pigs to a subsequent population-control operation.</x:v>
      </x:c>
      <x:c r="G62" s="26" t="str">
        <x:v>drafted</x:v>
      </x:c>
      <x:c r="H62" s="26" t="str">
        <x:v>prior-art risk</x:v>
      </x:c>
      <x:c r="I62" s="28" t="n">
        <x:v>46268</x:v>
      </x:c>
      <x:c r="J62" s="26" t="str">
        <x:v>Provisional/nonprovisional conversion claim probe; not a filing ceiling</x:v>
      </x:c>
      <x:c r="K62" s="26" t="str">
        <x:v>[0030]-[0058]; [0120]-[0155]; [0200]-[0260]</x:v>
      </x:c>
    </x:row>
    <x:row r="63">
      <x:c r="A63" s="26" t="n">
        <x:v>62</x:v>
      </x:c>
      <x:c r="B63" s="26" t="str">
        <x:v>P-U1</x:v>
      </x:c>
      <x:c r="C63" s="26" t="str">
        <x:v>dependent</x:v>
      </x:c>
      <x:c r="D63" s="26" t="n">
        <x:v>61</x:v>
      </x:c>
      <x:c r="E63" s="26" t="str">
        <x:v>Conditioning/aggregation feed</x:v>
      </x:c>
      <x:c r="F63" s="26" t="str">
        <x:v>The method of claim 61, wherein the feed is provided during a conditioning period to cause members of a local feral pig population to repeatedly return to or aggregate at the feeding location before a subsequent capture, treatment, or lethal-control operation.</x:v>
      </x:c>
      <x:c r="G63" s="26" t="str">
        <x:v>drafted</x:v>
      </x:c>
      <x:c r="H63" s="26" t="str">
        <x:v>prior-art risk</x:v>
      </x:c>
      <x:c r="I63" s="28" t="n">
        <x:v>46268</x:v>
      </x:c>
      <x:c r="J63" s="26" t="str">
        <x:v>Provisional/nonprovisional conversion claim probe; not a filing ceiling</x:v>
      </x:c>
      <x:c r="K63" s="26" t="str">
        <x:v>[0030]-[0058]; [0120]-[0155]; [0200]-[0260]</x:v>
      </x:c>
    </x:row>
    <x:row r="64">
      <x:c r="A64" s="26" t="n">
        <x:v>63</x:v>
      </x:c>
      <x:c r="B64" s="26" t="str">
        <x:v>P-U1</x:v>
      </x:c>
      <x:c r="C64" s="26" t="str">
        <x:v>dependent</x:v>
      </x:c>
      <x:c r="D64" s="26" t="n">
        <x:v>61</x:v>
      </x:c>
      <x:c r="E64" s="26" t="str">
        <x:v>Feed containing general toxicant</x:v>
      </x:c>
      <x:c r="F64" s="26" t="str">
        <x:v>The method of claim 61, wherein the feed contains a toxicant that is not inherently selective for feral pigs and access to the feed is selectively controlled using the recognition technology.</x:v>
      </x:c>
      <x:c r="G64" s="26" t="str">
        <x:v>drafted</x:v>
      </x:c>
      <x:c r="H64" s="26" t="str">
        <x:v>prior-art risk; regulatory/deployment issue</x:v>
      </x:c>
      <x:c r="I64" s="28" t="n">
        <x:v>46268</x:v>
      </x:c>
      <x:c r="J64" s="26" t="str">
        <x:v>Provisional/nonprovisional conversion claim probe; not a filing ceiling</x:v>
      </x:c>
      <x:c r="K64" s="26" t="str">
        <x:v>[0030]-[0058]; [0120]-[0155]; [0200]-[0260]</x:v>
      </x:c>
    </x:row>
    <x:row r="65">
      <x:c r="A65" s="26" t="n">
        <x:v>64</x:v>
      </x:c>
      <x:c r="B65" s="26" t="str">
        <x:v>P-U1</x:v>
      </x:c>
      <x:c r="C65" s="26" t="str">
        <x:v>dependent</x:v>
      </x:c>
      <x:c r="D65" s="26" t="n">
        <x:v>61</x:v>
      </x:c>
      <x:c r="E65" s="26" t="str">
        <x:v>Feed containing specific toxicant</x:v>
      </x:c>
      <x:c r="F65" s="26" t="str">
        <x:v>The method of claim 61, wherein the feed contains a species-selective toxicant configured or formulated to produce a greater toxic effect in feral pigs than in at least one selected non-target animal species under intended use conditions.</x:v>
      </x:c>
      <x:c r="G65" s="26" t="str">
        <x:v>drafted</x:v>
      </x:c>
      <x:c r="H65" s="26" t="str">
        <x:v>prior-art risk; regulatory/deployment issue</x:v>
      </x:c>
      <x:c r="I65" s="28" t="n">
        <x:v>46268</x:v>
      </x:c>
      <x:c r="J65" s="26" t="str">
        <x:v>Provisional/nonprovisional conversion claim probe; not a filing ceiling</x:v>
      </x:c>
      <x:c r="K65" s="26" t="str">
        <x:v>[0030]-[0058]; [0120]-[0155]; [0200]-[0260]</x:v>
      </x:c>
    </x:row>
    <x:row r="66">
      <x:c r="A66" s="26" t="n">
        <x:v>65</x:v>
      </x:c>
      <x:c r="B66" s="26" t="str">
        <x:v>P-U1</x:v>
      </x:c>
      <x:c r="C66" s="26" t="str">
        <x:v>dependent</x:v>
      </x:c>
      <x:c r="D66" s="26" t="n">
        <x:v>61</x:v>
      </x:c>
      <x:c r="E66" s="26" t="str">
        <x:v>Feed containing reproductive control</x:v>
      </x:c>
      <x:c r="F66" s="26" t="str">
        <x:v>The method of claim 61, wherein the feed contains or carries a reproductive-control treatment configured to reduce fertility or reproductive success of feral pigs.</x:v>
      </x:c>
      <x:c r="G66" s="26" t="str">
        <x:v>drafted</x:v>
      </x:c>
      <x:c r="H66" s="26" t="str">
        <x:v>prior-art risk; written-description gap; regulatory/deployment issue</x:v>
      </x:c>
      <x:c r="I66" s="28" t="n">
        <x:v>46268</x:v>
      </x:c>
      <x:c r="J66" s="26" t="str">
        <x:v>Provisional/nonprovisional conversion claim probe; not a filing ceiling</x:v>
      </x:c>
      <x:c r="K66" s="26" t="str">
        <x:v>[0030]-[0058]; [0120]-[0155]; [0200]-[0260]</x:v>
      </x:c>
    </x:row>
    <x:row r="67">
      <x:c r="A67" s="26" t="n">
        <x:v>66</x:v>
      </x:c>
      <x:c r="B67" s="26" t="str">
        <x:v>P-U1</x:v>
      </x:c>
      <x:c r="C67" s="26" t="str">
        <x:v>dependent</x:v>
      </x:c>
      <x:c r="D67" s="26" t="n">
        <x:v>61</x:v>
      </x:c>
      <x:c r="E67" s="26" t="str">
        <x:v>Feed containing genetic modification treatment</x:v>
      </x:c>
      <x:c r="F67" s="26" t="str">
        <x:v>The method of claim 61, wherein the feed contains, carries, or is administered with a genetic-modification treatment configured to reduce viability, fertility, reproductive success, or population persistence of feral pigs.</x:v>
      </x:c>
      <x:c r="G67" s="26" t="str">
        <x:v>drafted</x:v>
      </x:c>
      <x:c r="H67" s="26" t="str">
        <x:v>prior-art risk; written-description gap; enablement gap; regulatory/deployment issue</x:v>
      </x:c>
      <x:c r="I67" s="28" t="n">
        <x:v>46268</x:v>
      </x:c>
      <x:c r="J67" s="26" t="str">
        <x:v>Provisional/nonprovisional conversion claim probe; not a filing ceiling</x:v>
      </x:c>
      <x:c r="K67" s="26" t="str">
        <x:v>[0030]-[0058]; [0120]-[0155]; [0200]-[0260]</x:v>
      </x:c>
    </x:row>
    <x:row r="68">
      <x:c r="A68" s="26" t="n">
        <x:v>67</x:v>
      </x:c>
      <x:c r="B68" s="26" t="str">
        <x:v>P-U1</x:v>
      </x:c>
      <x:c r="C68" s="26" t="str">
        <x:v>dependent</x:v>
      </x:c>
      <x:c r="D68" s="26" t="n">
        <x:v>61</x:v>
      </x:c>
      <x:c r="E68" s="26" t="str">
        <x:v>Multiple population-control agents</x:v>
      </x:c>
      <x:c r="F68" s="26" t="str">
        <x:v>The method of claim 61, wherein the feed contains or is administered with two or more population-control agents having different population-control mechanisms.</x:v>
      </x:c>
      <x:c r="G68" s="26" t="str">
        <x:v>drafted</x:v>
      </x:c>
      <x:c r="H68" s="26" t="str">
        <x:v>prior-art risk</x:v>
      </x:c>
      <x:c r="I68" s="28" t="n">
        <x:v>46268</x:v>
      </x:c>
      <x:c r="J68" s="26" t="str">
        <x:v>Provisional/nonprovisional conversion claim probe; not a filing ceiling</x:v>
      </x:c>
      <x:c r="K68" s="26" t="str">
        <x:v>[0030]-[0058]; [0120]-[0155]; [0200]-[0260]</x:v>
      </x:c>
    </x:row>
    <x:row r="69">
      <x:c r="A69" s="26" t="n">
        <x:v>68</x:v>
      </x:c>
      <x:c r="B69" s="26" t="str">
        <x:v>P-U1</x:v>
      </x:c>
      <x:c r="C69" s="26" t="str">
        <x:v>dependent</x:v>
      </x:c>
      <x:c r="D69" s="26" t="n">
        <x:v>61</x:v>
      </x:c>
      <x:c r="E69" s="26" t="str">
        <x:v>Recognition-controlled feeder</x:v>
      </x:c>
      <x:c r="F69" s="26" t="str">
        <x:v>The method of claim 61, wherein selectively providing the feed comprises controlling a door, gate, lid, barrier, valve, shutter, auger, dispensing mechanism, or other access-control or dispensing structure of a feeder in response to the recognition technology.</x:v>
      </x:c>
      <x:c r="G69" s="26" t="str">
        <x:v>drafted</x:v>
      </x:c>
      <x:c r="H69" s="26" t="str">
        <x:v>prior-art risk</x:v>
      </x:c>
      <x:c r="I69" s="28" t="n">
        <x:v>46268</x:v>
      </x:c>
      <x:c r="J69" s="26" t="str">
        <x:v>Provisional/nonprovisional conversion claim probe; not a filing ceiling</x:v>
      </x:c>
      <x:c r="K69" s="26" t="str">
        <x:v>[0030]-[0058]; [0120]-[0155]; [0200]-[0260]</x:v>
      </x:c>
    </x:row>
    <x:row r="70">
      <x:c r="A70" s="26" t="n">
        <x:v>69</x:v>
      </x:c>
      <x:c r="B70" s="26" t="str">
        <x:v>P-U1</x:v>
      </x:c>
      <x:c r="C70" s="26" t="str">
        <x:v>dependent</x:v>
      </x:c>
      <x:c r="D70" s="26" t="n">
        <x:v>61</x:v>
      </x:c>
      <x:c r="E70" s="26" t="str">
        <x:v>Population-completeness gate</x:v>
      </x:c>
      <x:c r="F70" s="26" t="str">
        <x:v>The method of claim 61, further comprising learning a local feral pig population over a plurality of visits and withholding a selected population-control feed until a population-presence criterion derived from the learned local feral pig population is satisfied.</x:v>
      </x:c>
      <x:c r="G70" s="26" t="str">
        <x:v>drafted</x:v>
      </x:c>
      <x:c r="H70" s="26" t="str">
        <x:v>prior-art risk; written-description gap; enablement gap; 112(b)</x:v>
      </x:c>
      <x:c r="I70" s="28" t="n">
        <x:v>46268</x:v>
      </x:c>
      <x:c r="J70" s="26" t="str">
        <x:v>Provisional/nonprovisional conversion claim probe; not a filing ceiling</x:v>
      </x:c>
      <x:c r="K70" s="26" t="str">
        <x:v>[0030]-[0058]; [0120]-[0155]; [0200]-[0260]</x:v>
      </x:c>
    </x:row>
    <x:row r="71">
      <x:c r="A71" s="26" t="n">
        <x:v>70</x:v>
      </x:c>
      <x:c r="B71" s="26" t="str">
        <x:v>P-U1</x:v>
      </x:c>
      <x:c r="C71" s="26" t="str">
        <x:v>dependent</x:v>
      </x:c>
      <x:c r="D71" s="26" t="n">
        <x:v>61</x:v>
      </x:c>
      <x:c r="E71" s="26" t="str">
        <x:v>Local training</x:v>
      </x:c>
      <x:c r="F71" s="26" t="str">
        <x:v>The method of claim 61, wherein the recognition technology is trained or adapted using locally collected sensor data representing the local feral pig population, either alone or in addition to a model pretrained to recognize feral pigs.</x:v>
      </x:c>
      <x:c r="G71" s="26" t="str">
        <x:v>drafted</x:v>
      </x:c>
      <x:c r="H71" s="26" t="str">
        <x:v>prior-art risk</x:v>
      </x:c>
      <x:c r="I71" s="28" t="n">
        <x:v>46268</x:v>
      </x:c>
      <x:c r="J71" s="26" t="str">
        <x:v>Provisional/nonprovisional conversion claim probe; not a filing ceiling</x:v>
      </x:c>
      <x:c r="K71" s="26" t="str">
        <x:v>[0030]-[0058]; [0120]-[0155]; [0200]-[0260]</x:v>
      </x:c>
    </x:row>
    <x:row r="72">
      <x:c r="A72" s="26" t="n">
        <x:v>71</x:v>
      </x:c>
      <x:c r="B72" s="26" t="str">
        <x:v>P-U1</x:v>
      </x:c>
      <x:c r="C72" s="26" t="str">
        <x:v>independent</x:v>
      </x:c>
      <x:c r="D72" s="26"/>
      <x:c r="E72" s="26" t="str">
        <x:v>Physical population-control system</x:v>
      </x:c>
      <x:c r="F72" s="26" t="str">
        <x:v>A feral-pig population-control system, comprising: a sensor subsystem comprising at least one camera, at least one microphone, or both, positioned to obtain sensor data from a monitored area; one or more processors; memory storing instructions and at least one trained machine-learning model executable by the one or more processors to process the sensor data and generate a feral-pig recognition output; a population-control delivery assembly comprising at least one receptacle, access structure, dispensing structure, treatment interface, or actuator configured to regulate availability or application of a population-control treatment; and a controller operatively coupled to the population-control delivery assembly and configured, based on the feral-pig recognition output and at least one authorization condition, to selectively enable the population-control delivery assembly and to inhibit the population-control delivery assembly in response to at least one non-target or fault condition.</x:v>
      </x:c>
      <x:c r="G72" s="26" t="str">
        <x:v>drafted</x:v>
      </x:c>
      <x:c r="H72" s="26" t="str">
        <x:v>prior-art risk; 112(b)</x:v>
      </x:c>
      <x:c r="I72" s="28" t="n">
        <x:v>46268</x:v>
      </x:c>
      <x:c r="J72" s="26" t="str">
        <x:v>Provisional/nonprovisional conversion claim probe; not a filing ceiling</x:v>
      </x:c>
      <x:c r="K72" s="26" t="str">
        <x:v>[0030]-[0189]; [0331]-[0360]</x:v>
      </x:c>
    </x:row>
    <x:row r="73">
      <x:c r="A73" s="26" t="n">
        <x:v>72</x:v>
      </x:c>
      <x:c r="B73" s="26" t="str">
        <x:v>P-U1</x:v>
      </x:c>
      <x:c r="C73" s="26" t="str">
        <x:v>dependent</x:v>
      </x:c>
      <x:c r="D73" s="26" t="n">
        <x:v>71</x:v>
      </x:c>
      <x:c r="E73" s="26" t="str">
        <x:v>Camera and microphone</x:v>
      </x:c>
      <x:c r="F73" s="26" t="str">
        <x:v>The system of claim 71, wherein the sensor subsystem comprises both a camera and a microphone, and wherein the at least one trained machine-learning model processes information derived from both video data and audio data.</x:v>
      </x:c>
      <x:c r="G73" s="26" t="str">
        <x:v>drafted</x:v>
      </x:c>
      <x:c r="H73" s="26" t="str">
        <x:v>prior-art risk; 112(b)</x:v>
      </x:c>
      <x:c r="I73" s="28" t="n">
        <x:v>46268</x:v>
      </x:c>
      <x:c r="J73" s="26" t="str">
        <x:v>Provisional/nonprovisional conversion claim probe; not a filing ceiling</x:v>
      </x:c>
      <x:c r="K73" s="26" t="str">
        <x:v>[0030]-[0189]; [0331]-[0360]</x:v>
      </x:c>
    </x:row>
    <x:row r="74">
      <x:c r="A74" s="26" t="n">
        <x:v>73</x:v>
      </x:c>
      <x:c r="B74" s="26" t="str">
        <x:v>P-U1</x:v>
      </x:c>
      <x:c r="C74" s="26" t="str">
        <x:v>dependent</x:v>
      </x:c>
      <x:c r="D74" s="26" t="n">
        <x:v>71</x:v>
      </x:c>
      <x:c r="E74" s="26" t="str">
        <x:v>Edge/cloud processing</x:v>
      </x:c>
      <x:c r="F74" s="26" t="str">
        <x:v>The system of claim 71, wherein the one or more processors include a local edge processor, a remote processor, or both, and wherein recognition, population-state estimation, authorization, or logging is distributed between local and remote computing resources.</x:v>
      </x:c>
      <x:c r="G74" s="26" t="str">
        <x:v>drafted</x:v>
      </x:c>
      <x:c r="H74" s="26" t="str">
        <x:v>prior-art risk; 112(b)</x:v>
      </x:c>
      <x:c r="I74" s="28" t="n">
        <x:v>46268</x:v>
      </x:c>
      <x:c r="J74" s="26" t="str">
        <x:v>Provisional/nonprovisional conversion claim probe; not a filing ceiling</x:v>
      </x:c>
      <x:c r="K74" s="26" t="str">
        <x:v>[0030]-[0189]; [0331]-[0360]</x:v>
      </x:c>
    </x:row>
    <x:row r="75">
      <x:c r="A75" s="26" t="n">
        <x:v>74</x:v>
      </x:c>
      <x:c r="B75" s="26" t="str">
        <x:v>P-U1</x:v>
      </x:c>
      <x:c r="C75" s="26" t="str">
        <x:v>dependent</x:v>
      </x:c>
      <x:c r="D75" s="26" t="n">
        <x:v>71</x:v>
      </x:c>
      <x:c r="E75" s="26" t="str">
        <x:v>Population registry</x:v>
      </x:c>
      <x:c r="F75" s="26" t="str">
        <x:v>The system of claim 71, wherein the memory stores a population registry containing respective identifiers or identity records for feral pigs repeatedly observed at the monitored area.</x:v>
      </x:c>
      <x:c r="G75" s="26" t="str">
        <x:v>drafted</x:v>
      </x:c>
      <x:c r="H75" s="26" t="str">
        <x:v>prior-art risk; written-description gap; enablement gap; 112(b)</x:v>
      </x:c>
      <x:c r="I75" s="28" t="n">
        <x:v>46268</x:v>
      </x:c>
      <x:c r="J75" s="26" t="str">
        <x:v>Provisional/nonprovisional conversion claim probe; not a filing ceiling</x:v>
      </x:c>
      <x:c r="K75" s="26" t="str">
        <x:v>[0030]-[0189]; [0331]-[0360]</x:v>
      </x:c>
    </x:row>
    <x:row r="76">
      <x:c r="A76" s="26" t="n">
        <x:v>75</x:v>
      </x:c>
      <x:c r="B76" s="26" t="str">
        <x:v>P-U1</x:v>
      </x:c>
      <x:c r="C76" s="26" t="str">
        <x:v>dependent</x:v>
      </x:c>
      <x:c r="D76" s="26" t="n">
        <x:v>71</x:v>
      </x:c>
      <x:c r="E76" s="26" t="str">
        <x:v>Selective access apparatus</x:v>
      </x:c>
      <x:c r="F76" s="26" t="str">
        <x:v>The system of claim 71, wherein the population-control delivery assembly comprises a protected compartment and an actuator-controlled access member movable between a restricted state and an accessible state.</x:v>
      </x:c>
      <x:c r="G76" s="26" t="str">
        <x:v>drafted</x:v>
      </x:c>
      <x:c r="H76" s="26" t="str">
        <x:v>prior-art risk; 112(b)</x:v>
      </x:c>
      <x:c r="I76" s="28" t="n">
        <x:v>46268</x:v>
      </x:c>
      <x:c r="J76" s="26" t="str">
        <x:v>Provisional/nonprovisional conversion claim probe; not a filing ceiling</x:v>
      </x:c>
      <x:c r="K76" s="26" t="str">
        <x:v>[0030]-[0189]; [0331]-[0360]</x:v>
      </x:c>
    </x:row>
    <x:row r="77">
      <x:c r="A77" s="26" t="n">
        <x:v>76</x:v>
      </x:c>
      <x:c r="B77" s="26" t="str">
        <x:v>P-U1</x:v>
      </x:c>
      <x:c r="C77" s="26" t="str">
        <x:v>dependent</x:v>
      </x:c>
      <x:c r="D77" s="26" t="n">
        <x:v>71</x:v>
      </x:c>
      <x:c r="E77" s="26" t="str">
        <x:v>Feed or treatment receptacle</x:v>
      </x:c>
      <x:c r="F77" s="26" t="str">
        <x:v>The system of claim 71, wherein the population-control delivery assembly comprises a receptacle configured to contain feed, a toxicant, a reproductive-control treatment, a genetic-modification treatment, or a combination thereof.</x:v>
      </x:c>
      <x:c r="G77" s="26" t="str">
        <x:v>drafted</x:v>
      </x:c>
      <x:c r="H77" s="26" t="str">
        <x:v>prior-art risk; regulatory/deployment issue; 112(b)</x:v>
      </x:c>
      <x:c r="I77" s="28" t="n">
        <x:v>46268</x:v>
      </x:c>
      <x:c r="J77" s="26" t="str">
        <x:v>Provisional/nonprovisional conversion claim probe; not a filing ceiling</x:v>
      </x:c>
      <x:c r="K77" s="26" t="str">
        <x:v>[0030]-[0189]; [0331]-[0360]</x:v>
      </x:c>
    </x:row>
    <x:row r="78">
      <x:c r="A78" s="26" t="n">
        <x:v>77</x:v>
      </x:c>
      <x:c r="B78" s="26" t="str">
        <x:v>P-U1</x:v>
      </x:c>
      <x:c r="C78" s="26" t="str">
        <x:v>dependent</x:v>
      </x:c>
      <x:c r="D78" s="26" t="n">
        <x:v>71</x:v>
      </x:c>
      <x:c r="E78" s="26" t="str">
        <x:v>Treatment class alternatives</x:v>
      </x:c>
      <x:c r="F78" s="26" t="str">
        <x:v>The system of claim 71, wherein the population-control treatment comprises at least one treatment selected from the group consisting of a generally toxic lethal treatment, a species-selective toxicant, a reproductive-control treatment, a genetic-modification treatment, and a feed containing or associated with at least one population-control agent.</x:v>
      </x:c>
      <x:c r="G78" s="26" t="str">
        <x:v>drafted</x:v>
      </x:c>
      <x:c r="H78" s="26" t="str">
        <x:v>prior-art risk; written-description gap; enablement gap; regulatory/deployment issue; 112(b)</x:v>
      </x:c>
      <x:c r="I78" s="28" t="n">
        <x:v>46268</x:v>
      </x:c>
      <x:c r="J78" s="26" t="str">
        <x:v>Provisional/nonprovisional conversion claim probe; not a filing ceiling</x:v>
      </x:c>
      <x:c r="K78" s="26" t="str">
        <x:v>[0030]-[0189]; [0331]-[0360]</x:v>
      </x:c>
    </x:row>
    <x:row r="79">
      <x:c r="A79" s="26" t="n">
        <x:v>78</x:v>
      </x:c>
      <x:c r="B79" s="26" t="str">
        <x:v>P-U1</x:v>
      </x:c>
      <x:c r="C79" s="26" t="str">
        <x:v>dependent</x:v>
      </x:c>
      <x:c r="D79" s="26" t="n">
        <x:v>71</x:v>
      </x:c>
      <x:c r="E79" s="26" t="str">
        <x:v>Hard safety interlock</x:v>
      </x:c>
      <x:c r="F79" s="26" t="str">
        <x:v>The system of claim 71, further comprising a safety interlock configured to maintain or return the population-control delivery assembly to an inhibited state in response to detection of a human, a protected species, a domestic animal, an unknown animal classification, loss of a required sensor input, loss of communication, loss of power, or a mechanism fault.</x:v>
      </x:c>
      <x:c r="G79" s="26" t="str">
        <x:v>drafted</x:v>
      </x:c>
      <x:c r="H79" s="26" t="str">
        <x:v>prior-art risk; 112(b)</x:v>
      </x:c>
      <x:c r="I79" s="28" t="n">
        <x:v>46268</x:v>
      </x:c>
      <x:c r="J79" s="26" t="str">
        <x:v>Provisional/nonprovisional conversion claim probe; not a filing ceiling</x:v>
      </x:c>
      <x:c r="K79" s="26" t="str">
        <x:v>[0030]-[0189]; [0331]-[0360]</x:v>
      </x:c>
    </x:row>
    <x:row r="80">
      <x:c r="A80" s="26" t="n">
        <x:v>79</x:v>
      </x:c>
      <x:c r="B80" s="26" t="str">
        <x:v>P-U1</x:v>
      </x:c>
      <x:c r="C80" s="26" t="str">
        <x:v>dependent</x:v>
      </x:c>
      <x:c r="D80" s="26" t="n">
        <x:v>71</x:v>
      </x:c>
      <x:c r="E80" s="26" t="str">
        <x:v>Human-in-loop</x:v>
      </x:c>
      <x:c r="F80" s="26" t="str">
        <x:v>The system of claim 71, further comprising a user interface configured to present sensor data or recognition information to an authorized operator and to receive an operator authorization required before at least one population-control operation.</x:v>
      </x:c>
      <x:c r="G80" s="26" t="str">
        <x:v>drafted</x:v>
      </x:c>
      <x:c r="H80" s="26" t="str">
        <x:v>prior-art risk; 112(b)</x:v>
      </x:c>
      <x:c r="I80" s="28" t="n">
        <x:v>46268</x:v>
      </x:c>
      <x:c r="J80" s="26" t="str">
        <x:v>Provisional/nonprovisional conversion claim probe; not a filing ceiling</x:v>
      </x:c>
      <x:c r="K80" s="26" t="str">
        <x:v>[0030]-[0189]; [0331]-[0360]</x:v>
      </x:c>
    </x:row>
    <x:row r="81">
      <x:c r="A81" s="26" t="n">
        <x:v>80</x:v>
      </x:c>
      <x:c r="B81" s="26" t="str">
        <x:v>P-U1</x:v>
      </x:c>
      <x:c r="C81" s="26" t="str">
        <x:v>dependent</x:v>
      </x:c>
      <x:c r="D81" s="26" t="n">
        <x:v>71</x:v>
      </x:c>
      <x:c r="E81" s="26" t="str">
        <x:v>Audit and configuration log</x:v>
      </x:c>
      <x:c r="F81" s="26" t="str">
        <x:v>The system of claim 71, wherein the memory stores an event log associating a population-control operation with a time, one or more recognition outputs, a model or configuration identifier, an authorization state, and a state of the population-control delivery assembly.</x:v>
      </x:c>
      <x:c r="G81" s="26" t="str">
        <x:v>drafted</x:v>
      </x:c>
      <x:c r="H81" s="26" t="str">
        <x:v>prior-art risk; 112(b)</x:v>
      </x:c>
      <x:c r="I81" s="28" t="n">
        <x:v>46268</x:v>
      </x:c>
      <x:c r="J81" s="26" t="str">
        <x:v>Provisional/nonprovisional conversion claim probe; not a filing ceiling</x:v>
      </x:c>
      <x:c r="K81" s="26" t="str">
        <x:v>[0030]-[0189]; [0331]-[0360]</x:v>
      </x:c>
    </x:row>
    <x:row r="82">
      <x:c r="A82" s="26" t="n">
        <x:v>81</x:v>
      </x:c>
      <x:c r="B82" s="26" t="str">
        <x:v>P-U1</x:v>
      </x:c>
      <x:c r="C82" s="26" t="str">
        <x:v>independent</x:v>
      </x:c>
      <x:c r="D82" s="26"/>
      <x:c r="E82" s="26" t="str">
        <x:v>AI training/configuration method</x:v>
      </x:c>
      <x:c r="F82" s="26" t="str">
        <x:v>A method of configuring a machine-learning recognition system for selective control of feral pigs, comprising: obtaining a training corpus comprising positive training examples representing feral pigs and negative training examples representing non-target fauna; training at least one machine-learning model using the training corpus to distinguish feral pigs from the non-target fauna based on audio information, video information, or both; evaluating or calibrating the at least one machine-learning model to produce a feral-pig recognition output and at least one confidence, uncertainty, non-target, or unknown output; and deploying the at least one machine-learning model for use in selectively authorizing a feral-pig population-control operation at a monitored location.</x:v>
      </x:c>
      <x:c r="G82" s="26" t="str">
        <x:v>drafted</x:v>
      </x:c>
      <x:c r="H82" s="26" t="str">
        <x:v>prior-art risk</x:v>
      </x:c>
      <x:c r="I82" s="28" t="n">
        <x:v>46268</x:v>
      </x:c>
      <x:c r="J82" s="26" t="str">
        <x:v>Provisional/nonprovisional conversion claim probe; not a filing ceiling</x:v>
      </x:c>
      <x:c r="K82" s="26" t="str">
        <x:v>[0030]-[0118]; [0331]-[0360]</x:v>
      </x:c>
    </x:row>
    <x:row r="83">
      <x:c r="A83" s="26" t="n">
        <x:v>82</x:v>
      </x:c>
      <x:c r="B83" s="26" t="str">
        <x:v>P-U1</x:v>
      </x:c>
      <x:c r="C83" s="26" t="str">
        <x:v>dependent</x:v>
      </x:c>
      <x:c r="D83" s="26" t="n">
        <x:v>81</x:v>
      </x:c>
      <x:c r="E83" s="26" t="str">
        <x:v>Pretraining</x:v>
      </x:c>
      <x:c r="F83" s="26" t="str">
        <x:v>The method of claim 81, wherein training comprises pretraining the at least one machine-learning model using feral-pig examples and non-target-fauna examples obtained from locations other than the monitored location.</x:v>
      </x:c>
      <x:c r="G83" s="26" t="str">
        <x:v>drafted</x:v>
      </x:c>
      <x:c r="H83" s="26" t="str">
        <x:v>prior-art risk</x:v>
      </x:c>
      <x:c r="I83" s="28" t="n">
        <x:v>46268</x:v>
      </x:c>
      <x:c r="J83" s="26" t="str">
        <x:v>Provisional/nonprovisional conversion claim probe; not a filing ceiling</x:v>
      </x:c>
      <x:c r="K83" s="26" t="str">
        <x:v>[0030]-[0118]; [0331]-[0360]</x:v>
      </x:c>
    </x:row>
    <x:row r="84">
      <x:c r="A84" s="26" t="n">
        <x:v>83</x:v>
      </x:c>
      <x:c r="B84" s="26" t="str">
        <x:v>P-U1</x:v>
      </x:c>
      <x:c r="C84" s="26" t="str">
        <x:v>dependent</x:v>
      </x:c>
      <x:c r="D84" s="26" t="n">
        <x:v>81</x:v>
      </x:c>
      <x:c r="E84" s="26" t="str">
        <x:v>Local adaptation after pretraining</x:v>
      </x:c>
      <x:c r="F84" s="26" t="str">
        <x:v>The method of claim 81, further comprising fine-tuning, adapting, calibrating, or updating the at least one machine-learning model using locally collected audio data, video data, or both from the monitored location after pretraining.</x:v>
      </x:c>
      <x:c r="G84" s="26" t="str">
        <x:v>drafted</x:v>
      </x:c>
      <x:c r="H84" s="26" t="str">
        <x:v>prior-art risk</x:v>
      </x:c>
      <x:c r="I84" s="28" t="n">
        <x:v>46268</x:v>
      </x:c>
      <x:c r="J84" s="26" t="str">
        <x:v>Provisional/nonprovisional conversion claim probe; not a filing ceiling</x:v>
      </x:c>
      <x:c r="K84" s="26" t="str">
        <x:v>[0030]-[0118]; [0331]-[0360]</x:v>
      </x:c>
    </x:row>
    <x:row r="85">
      <x:c r="A85" s="26" t="n">
        <x:v>84</x:v>
      </x:c>
      <x:c r="B85" s="26" t="str">
        <x:v>P-U1</x:v>
      </x:c>
      <x:c r="C85" s="26" t="str">
        <x:v>dependent</x:v>
      </x:c>
      <x:c r="D85" s="26" t="n">
        <x:v>81</x:v>
      </x:c>
      <x:c r="E85" s="26" t="str">
        <x:v>Local-only training</x:v>
      </x:c>
      <x:c r="F85" s="26" t="str">
        <x:v>The method of claim 81, wherein at least one machine-learning model used at the monitored location is trained primarily or exclusively using locally collected observations of feral pigs and non-target fauna from the monitored location or a surrounding local region.</x:v>
      </x:c>
      <x:c r="G85" s="26" t="str">
        <x:v>drafted</x:v>
      </x:c>
      <x:c r="H85" s="26" t="str">
        <x:v>prior-art risk</x:v>
      </x:c>
      <x:c r="I85" s="28" t="n">
        <x:v>46268</x:v>
      </x:c>
      <x:c r="J85" s="26" t="str">
        <x:v>Provisional/nonprovisional conversion claim probe; not a filing ceiling</x:v>
      </x:c>
      <x:c r="K85" s="26" t="str">
        <x:v>[0030]-[0118]; [0331]-[0360]</x:v>
      </x:c>
    </x:row>
    <x:row r="86">
      <x:c r="A86" s="26" t="n">
        <x:v>85</x:v>
      </x:c>
      <x:c r="B86" s="26" t="str">
        <x:v>P-U1</x:v>
      </x:c>
      <x:c r="C86" s="26" t="str">
        <x:v>dependent</x:v>
      </x:c>
      <x:c r="D86" s="26" t="n">
        <x:v>81</x:v>
      </x:c>
      <x:c r="E86" s="26" t="str">
        <x:v>Individual re-identification</x:v>
      </x:c>
      <x:c r="F86" s="26" t="str">
        <x:v>The method of claim 81, further comprising training or configuring a model to associate observations obtained at different times with respective persistent or pseudonymous feral-pig identifiers.</x:v>
      </x:c>
      <x:c r="G86" s="26" t="str">
        <x:v>drafted</x:v>
      </x:c>
      <x:c r="H86" s="26" t="str">
        <x:v>prior-art risk; written-description gap; enablement gap; 112(b)</x:v>
      </x:c>
      <x:c r="I86" s="28" t="n">
        <x:v>46268</x:v>
      </x:c>
      <x:c r="J86" s="26" t="str">
        <x:v>Provisional/nonprovisional conversion claim probe; not a filing ceiling</x:v>
      </x:c>
      <x:c r="K86" s="26" t="str">
        <x:v>[0030]-[0118]; [0331]-[0360]</x:v>
      </x:c>
    </x:row>
    <x:row r="87">
      <x:c r="A87" s="26" t="n">
        <x:v>86</x:v>
      </x:c>
      <x:c r="B87" s="26" t="str">
        <x:v>P-U1</x:v>
      </x:c>
      <x:c r="C87" s="26" t="str">
        <x:v>dependent</x:v>
      </x:c>
      <x:c r="D87" s="26" t="n">
        <x:v>81</x:v>
      </x:c>
      <x:c r="E87" s="26" t="str">
        <x:v>Group membership learning</x:v>
      </x:c>
      <x:c r="F87" s="26" t="str">
        <x:v>The method of claim 81, further comprising generating a machine-maintained working population set in which repeated co-occurrence, spatial, temporal, visual, acoustic, morphological, or behavioral evidence is used to associate feral pigs with a local population or subgroup.</x:v>
      </x:c>
      <x:c r="G87" s="26" t="str">
        <x:v>drafted</x:v>
      </x:c>
      <x:c r="H87" s="26" t="str">
        <x:v>prior-art risk; written-description gap; enablement gap; 112(b)</x:v>
      </x:c>
      <x:c r="I87" s="28" t="n">
        <x:v>46268</x:v>
      </x:c>
      <x:c r="J87" s="26" t="str">
        <x:v>Provisional/nonprovisional conversion claim probe; not a filing ceiling</x:v>
      </x:c>
      <x:c r="K87" s="26" t="str">
        <x:v>[0030]-[0118]; [0331]-[0360]</x:v>
      </x:c>
    </x:row>
    <x:row r="88">
      <x:c r="A88" s="26" t="n">
        <x:v>87</x:v>
      </x:c>
      <x:c r="B88" s="26" t="str">
        <x:v>P-U1</x:v>
      </x:c>
      <x:c r="C88" s="26" t="str">
        <x:v>dependent</x:v>
      </x:c>
      <x:c r="D88" s="26" t="n">
        <x:v>81</x:v>
      </x:c>
      <x:c r="E88" s="26" t="str">
        <x:v>Population-completeness output</x:v>
      </x:c>
      <x:c r="F88" s="26" t="str">
        <x:v>The method of claim 81, further comprising configuring the recognition system to generate a population-presence or population-completeness output based on comparison of current observations with a working population set representing a local feral pig population.</x:v>
      </x:c>
      <x:c r="G88" s="26" t="str">
        <x:v>drafted</x:v>
      </x:c>
      <x:c r="H88" s="26" t="str">
        <x:v>prior-art risk; written-description gap; enablement gap; 112(b)</x:v>
      </x:c>
      <x:c r="I88" s="28" t="n">
        <x:v>46268</x:v>
      </x:c>
      <x:c r="J88" s="26" t="str">
        <x:v>Provisional/nonprovisional conversion claim probe; not a filing ceiling</x:v>
      </x:c>
      <x:c r="K88" s="26" t="str">
        <x:v>[0030]-[0118]; [0331]-[0360]</x:v>
      </x:c>
    </x:row>
    <x:row r="89">
      <x:c r="A89" s="26" t="n">
        <x:v>88</x:v>
      </x:c>
      <x:c r="B89" s="26" t="str">
        <x:v>P-U1</x:v>
      </x:c>
      <x:c r="C89" s="26" t="str">
        <x:v>dependent</x:v>
      </x:c>
      <x:c r="D89" s="26" t="n">
        <x:v>81</x:v>
      </x:c>
      <x:c r="E89" s="26" t="str">
        <x:v>Multimodal fusion</x:v>
      </x:c>
      <x:c r="F89" s="26" t="str">
        <x:v>The method of claim 81, wherein the at least one machine-learning model comprises separate audio and video models, a joint multimodal model, or a fusion model that combines audio-derived and video-derived recognition information.</x:v>
      </x:c>
      <x:c r="G89" s="26" t="str">
        <x:v>drafted</x:v>
      </x:c>
      <x:c r="H89" s="26" t="str">
        <x:v>prior-art risk</x:v>
      </x:c>
      <x:c r="I89" s="28" t="n">
        <x:v>46268</x:v>
      </x:c>
      <x:c r="J89" s="26" t="str">
        <x:v>Provisional/nonprovisional conversion claim probe; not a filing ceiling</x:v>
      </x:c>
      <x:c r="K89" s="26" t="str">
        <x:v>[0030]-[0118]; [0331]-[0360]</x:v>
      </x:c>
    </x:row>
    <x:row r="90">
      <x:c r="A90" s="26" t="n">
        <x:v>89</x:v>
      </x:c>
      <x:c r="B90" s="26" t="str">
        <x:v>P-U1</x:v>
      </x:c>
      <x:c r="C90" s="26" t="str">
        <x:v>dependent</x:v>
      </x:c>
      <x:c r="D90" s="26" t="n">
        <x:v>81</x:v>
      </x:c>
      <x:c r="E90" s="26" t="str">
        <x:v>Post-deployment feedback</x:v>
      </x:c>
      <x:c r="F90" s="26" t="str">
        <x:v>The method of claim 81, further comprising updating the at least one machine-learning model or an associated calibration using operator-confirmed classifications, treatment events, non-target observations, or other labeled observations obtained after deployment.</x:v>
      </x:c>
      <x:c r="G90" s="26" t="str">
        <x:v>drafted</x:v>
      </x:c>
      <x:c r="H90" s="26" t="str">
        <x:v>prior-art risk</x:v>
      </x:c>
      <x:c r="I90" s="28" t="n">
        <x:v>46268</x:v>
      </x:c>
      <x:c r="J90" s="26" t="str">
        <x:v>Provisional/nonprovisional conversion claim probe; not a filing ceiling</x:v>
      </x:c>
      <x:c r="K90" s="26" t="str">
        <x:v>[0030]-[0118]; [0331]-[0360]</x:v>
      </x:c>
    </x:row>
    <x:row r="91">
      <x:c r="A91" s="26" t="n">
        <x:v>90</x:v>
      </x:c>
      <x:c r="B91" s="26" t="str">
        <x:v>P-U1</x:v>
      </x:c>
      <x:c r="C91" s="26" t="str">
        <x:v>dependent</x:v>
      </x:c>
      <x:c r="D91" s="26" t="n">
        <x:v>81</x:v>
      </x:c>
      <x:c r="E91" s="26" t="str">
        <x:v>Unknown/uncertainty gate</x:v>
      </x:c>
      <x:c r="F91" s="26" t="str">
        <x:v>The method of claim 81, wherein the deployed recognition system is configured to inhibit a population-control operation when an uncertainty value exceeds a selected threshold or when an observed animal is assigned an unknown or non-target classification satisfying a veto criterion.</x:v>
      </x:c>
      <x:c r="G91" s="26" t="str">
        <x:v>drafted</x:v>
      </x:c>
      <x:c r="H91" s="26" t="str">
        <x:v>prior-art risk</x:v>
      </x:c>
      <x:c r="I91" s="28" t="n">
        <x:v>46268</x:v>
      </x:c>
      <x:c r="J91" s="26" t="str">
        <x:v>Provisional/nonprovisional conversion claim probe; not a filing ceiling</x:v>
      </x:c>
      <x:c r="K91" s="26" t="str">
        <x:v>[0030]-[0118]; [0331]-[0360]</x:v>
      </x:c>
    </x:row>
    <x:row r="92">
      <x:c r="A92" s="26" t="n">
        <x:v>91</x:v>
      </x:c>
      <x:c r="B92" s="26" t="str">
        <x:v>P-U1</x:v>
      </x:c>
      <x:c r="C92" s="26" t="str">
        <x:v>independent</x:v>
      </x:c>
      <x:c r="D92" s="26"/>
      <x:c r="E92" s="26" t="str">
        <x:v>Computer-readable control logic</x:v>
      </x:c>
      <x:c r="F92" s="26" t="str">
        <x:v>A non-transitory computer-readable medium storing instructions that, when executed by one or more processors of a feral-pig population-control system, cause the one or more processors to: receive audio data, video data, or both representing a monitored area; process the audio data, the video data, or both using at least one trained machine-learning model to generate feral-pig recognition information; determine, based at least in part on the feral-pig recognition information, whether an authorization condition for a population-control operation is satisfied; when the authorization condition is satisfied, generate a control command that selectively enables a population-control delivery assembly; and when a non-target, unknown, safety, or fault condition is detected, generate or maintain a control state that inhibits the population-control delivery assembly.</x:v>
      </x:c>
      <x:c r="G92" s="26" t="str">
        <x:v>drafted</x:v>
      </x:c>
      <x:c r="H92" s="26" t="str">
        <x:v>prior-art risk</x:v>
      </x:c>
      <x:c r="I92" s="28" t="n">
        <x:v>46268</x:v>
      </x:c>
      <x:c r="J92" s="26" t="str">
        <x:v>Provisional/nonprovisional conversion claim probe; not a filing ceiling</x:v>
      </x:c>
      <x:c r="K92" s="26" t="str">
        <x:v>[0030]-[0189]; [0331]-[0360]</x:v>
      </x:c>
    </x:row>
    <x:row r="93">
      <x:c r="A93" s="26" t="n">
        <x:v>92</x:v>
      </x:c>
      <x:c r="B93" s="26" t="str">
        <x:v>P-U1</x:v>
      </x:c>
      <x:c r="C93" s="26" t="str">
        <x:v>dependent</x:v>
      </x:c>
      <x:c r="D93" s="26" t="n">
        <x:v>91</x:v>
      </x:c>
      <x:c r="E93" s="26" t="str">
        <x:v>Species and non-target classification</x:v>
      </x:c>
      <x:c r="F93" s="26" t="str">
        <x:v>The non-transitory computer-readable medium of claim 91, wherein the instructions cause the one or more processors to generate a feral-pig classification and at least one non-target, protected-species, domestic-animal, human, or unknown classification.</x:v>
      </x:c>
      <x:c r="G93" s="26" t="str">
        <x:v>drafted</x:v>
      </x:c>
      <x:c r="H93" s="26" t="str">
        <x:v>prior-art risk</x:v>
      </x:c>
      <x:c r="I93" s="28" t="n">
        <x:v>46268</x:v>
      </x:c>
      <x:c r="J93" s="26" t="str">
        <x:v>Provisional/nonprovisional conversion claim probe; not a filing ceiling</x:v>
      </x:c>
      <x:c r="K93" s="26" t="str">
        <x:v>[0030]-[0189]; [0331]-[0360]</x:v>
      </x:c>
    </x:row>
    <x:row r="94">
      <x:c r="A94" s="26" t="n">
        <x:v>93</x:v>
      </x:c>
      <x:c r="B94" s="26" t="str">
        <x:v>P-U1</x:v>
      </x:c>
      <x:c r="C94" s="26" t="str">
        <x:v>dependent</x:v>
      </x:c>
      <x:c r="D94" s="26" t="n">
        <x:v>91</x:v>
      </x:c>
      <x:c r="E94" s="26" t="str">
        <x:v>Persistent local population registry</x:v>
      </x:c>
      <x:c r="F94" s="26" t="str">
        <x:v>The non-transitory computer-readable medium of claim 91, wherein the instructions cause the one or more processors to maintain a population registry associating observations obtained at different times with respective feral-pig identifiers.</x:v>
      </x:c>
      <x:c r="G94" s="26" t="str">
        <x:v>drafted</x:v>
      </x:c>
      <x:c r="H94" s="26" t="str">
        <x:v>prior-art risk; written-description gap; enablement gap; 112(b)</x:v>
      </x:c>
      <x:c r="I94" s="28" t="n">
        <x:v>46268</x:v>
      </x:c>
      <x:c r="J94" s="26" t="str">
        <x:v>Provisional/nonprovisional conversion claim probe; not a filing ceiling</x:v>
      </x:c>
      <x:c r="K94" s="26" t="str">
        <x:v>[0030]-[0189]; [0331]-[0360]</x:v>
      </x:c>
    </x:row>
    <x:row r="95">
      <x:c r="A95" s="26" t="n">
        <x:v>94</x:v>
      </x:c>
      <x:c r="B95" s="26" t="str">
        <x:v>P-U1</x:v>
      </x:c>
      <x:c r="C95" s="26" t="str">
        <x:v>dependent</x:v>
      </x:c>
      <x:c r="D95" s="26" t="n">
        <x:v>91</x:v>
      </x:c>
      <x:c r="E95" s="26" t="str">
        <x:v>All active members criterion</x:v>
      </x:c>
      <x:c r="F95" s="26" t="str">
        <x:v>The non-transitory computer-readable medium of claim 91, wherein the authorization condition requires a determination that each active feral-pig identifier in the population registry is represented by a current observation satisfying a selected confidence or recency criterion.</x:v>
      </x:c>
      <x:c r="G95" s="26" t="str">
        <x:v>drafted</x:v>
      </x:c>
      <x:c r="H95" s="26" t="str">
        <x:v>prior-art risk; written-description gap; enablement gap; 112(b)</x:v>
      </x:c>
      <x:c r="I95" s="28" t="n">
        <x:v>46268</x:v>
      </x:c>
      <x:c r="J95" s="26" t="str">
        <x:v>Provisional/nonprovisional conversion claim probe; not a filing ceiling</x:v>
      </x:c>
      <x:c r="K95" s="26" t="str">
        <x:v>[0030]-[0189]; [0331]-[0360]</x:v>
      </x:c>
    </x:row>
    <x:row r="96">
      <x:c r="A96" s="26" t="n">
        <x:v>95</x:v>
      </x:c>
      <x:c r="B96" s="26" t="str">
        <x:v>P-U1</x:v>
      </x:c>
      <x:c r="C96" s="26" t="str">
        <x:v>dependent</x:v>
      </x:c>
      <x:c r="D96" s="26" t="n">
        <x:v>91</x:v>
      </x:c>
      <x:c r="E96" s="26" t="str">
        <x:v>Treatment selection</x:v>
      </x:c>
      <x:c r="F96" s="26" t="str">
        <x:v>The non-transitory computer-readable medium of claim 91, wherein the instructions cause the one or more processors to select, schedule, or authorize a population-control operation from among a lethal treatment, a species-selective toxicant treatment, a reproductive-control treatment, a genetic-modification treatment, a feed-mediated treatment, and a combination thereof.</x:v>
      </x:c>
      <x:c r="G96" s="26" t="str">
        <x:v>drafted</x:v>
      </x:c>
      <x:c r="H96" s="26" t="str">
        <x:v>prior-art risk; written-description gap; enablement gap; regulatory/deployment issue</x:v>
      </x:c>
      <x:c r="I96" s="28" t="n">
        <x:v>46268</x:v>
      </x:c>
      <x:c r="J96" s="26" t="str">
        <x:v>Provisional/nonprovisional conversion claim probe; not a filing ceiling</x:v>
      </x:c>
      <x:c r="K96" s="26" t="str">
        <x:v>[0030]-[0189]; [0331]-[0360]</x:v>
      </x:c>
    </x:row>
    <x:row r="97">
      <x:c r="A97" s="26" t="n">
        <x:v>96</x:v>
      </x:c>
      <x:c r="B97" s="26" t="str">
        <x:v>P-U1</x:v>
      </x:c>
      <x:c r="C97" s="26" t="str">
        <x:v>dependent</x:v>
      </x:c>
      <x:c r="D97" s="26" t="n">
        <x:v>91</x:v>
      </x:c>
      <x:c r="E97" s="26" t="str">
        <x:v>Feed-access control</x:v>
      </x:c>
      <x:c r="F97" s="26" t="str">
        <x:v>The non-transitory computer-readable medium of claim 91, wherein the control command controls a door, gate, lid, barrier, valve, shutter, auger, dispenser, or other structure that regulates access to or dispensing of feed or a population-control agent.</x:v>
      </x:c>
      <x:c r="G97" s="26" t="str">
        <x:v>drafted</x:v>
      </x:c>
      <x:c r="H97" s="26" t="str">
        <x:v>prior-art risk</x:v>
      </x:c>
      <x:c r="I97" s="28" t="n">
        <x:v>46268</x:v>
      </x:c>
      <x:c r="J97" s="26" t="str">
        <x:v>Provisional/nonprovisional conversion claim probe; not a filing ceiling</x:v>
      </x:c>
      <x:c r="K97" s="26" t="str">
        <x:v>[0030]-[0189]; [0331]-[0360]</x:v>
      </x:c>
    </x:row>
    <x:row r="98">
      <x:c r="A98" s="26" t="n">
        <x:v>97</x:v>
      </x:c>
      <x:c r="B98" s="26" t="str">
        <x:v>P-U1</x:v>
      </x:c>
      <x:c r="C98" s="26" t="str">
        <x:v>dependent</x:v>
      </x:c>
      <x:c r="D98" s="26" t="n">
        <x:v>91</x:v>
      </x:c>
      <x:c r="E98" s="26" t="str">
        <x:v>General or specific toxicant control</x:v>
      </x:c>
      <x:c r="F98" s="26" t="str">
        <x:v>The non-transitory computer-readable medium of claim 91, wherein the population-control delivery assembly is configured to provide a generally toxic agent whose selectivity is achieved by controlled exposure, a species-selective toxicant, or both.</x:v>
      </x:c>
      <x:c r="G98" s="26" t="str">
        <x:v>drafted</x:v>
      </x:c>
      <x:c r="H98" s="26" t="str">
        <x:v>prior-art risk; regulatory/deployment issue</x:v>
      </x:c>
      <x:c r="I98" s="28" t="n">
        <x:v>46268</x:v>
      </x:c>
      <x:c r="J98" s="26" t="str">
        <x:v>Provisional/nonprovisional conversion claim probe; not a filing ceiling</x:v>
      </x:c>
      <x:c r="K98" s="26" t="str">
        <x:v>[0030]-[0189]; [0331]-[0360]</x:v>
      </x:c>
    </x:row>
    <x:row r="99">
      <x:c r="A99" s="26" t="n">
        <x:v>98</x:v>
      </x:c>
      <x:c r="B99" s="26" t="str">
        <x:v>P-U1</x:v>
      </x:c>
      <x:c r="C99" s="26" t="str">
        <x:v>dependent</x:v>
      </x:c>
      <x:c r="D99" s="26" t="n">
        <x:v>91</x:v>
      </x:c>
      <x:c r="E99" s="26" t="str">
        <x:v>Reproductive/genetic control</x:v>
      </x:c>
      <x:c r="F99" s="26" t="str">
        <x:v>The non-transitory computer-readable medium of claim 91, wherein the population-control delivery assembly is configured to provide a reproductive-control treatment, a genetic-modification treatment, or a feed carrying one or both treatments.</x:v>
      </x:c>
      <x:c r="G99" s="26" t="str">
        <x:v>drafted</x:v>
      </x:c>
      <x:c r="H99" s="26" t="str">
        <x:v>prior-art risk; written-description gap; enablement gap; regulatory/deployment issue</x:v>
      </x:c>
      <x:c r="I99" s="28" t="n">
        <x:v>46268</x:v>
      </x:c>
      <x:c r="J99" s="26" t="str">
        <x:v>Provisional/nonprovisional conversion claim probe; not a filing ceiling</x:v>
      </x:c>
      <x:c r="K99" s="26" t="str">
        <x:v>[0030]-[0189]; [0331]-[0360]</x:v>
      </x:c>
    </x:row>
    <x:row r="100">
      <x:c r="A100" s="26" t="n">
        <x:v>99</x:v>
      </x:c>
      <x:c r="B100" s="26" t="str">
        <x:v>P-U1</x:v>
      </x:c>
      <x:c r="C100" s="26" t="str">
        <x:v>dependent</x:v>
      </x:c>
      <x:c r="D100" s="26" t="n">
        <x:v>91</x:v>
      </x:c>
      <x:c r="E100" s="26" t="str">
        <x:v>Safety and fault inhibition</x:v>
      </x:c>
      <x:c r="F100" s="26" t="str">
        <x:v>The non-transitory computer-readable medium of claim 91, wherein the instructions cause the one or more processors to inhibit or terminate a population-control operation in response to detection of a human, a non-target animal, an unknown animal classification, a stale population state, a sensor fault, a communication fault, a power fault, or a delivery-assembly fault.</x:v>
      </x:c>
      <x:c r="G100" s="26" t="str">
        <x:v>drafted</x:v>
      </x:c>
      <x:c r="H100" s="26" t="str">
        <x:v>prior-art risk</x:v>
      </x:c>
      <x:c r="I100" s="28" t="n">
        <x:v>46268</x:v>
      </x:c>
      <x:c r="J100" s="26" t="str">
        <x:v>Provisional/nonprovisional conversion claim probe; not a filing ceiling</x:v>
      </x:c>
      <x:c r="K100" s="26" t="str">
        <x:v>[0030]-[0189]; [0331]-[0360]</x:v>
      </x:c>
    </x:row>
    <x:row r="101">
      <x:c r="A101" s="26" t="n">
        <x:v>100</x:v>
      </x:c>
      <x:c r="B101" s="26" t="str">
        <x:v>P-U1</x:v>
      </x:c>
      <x:c r="C101" s="26" t="str">
        <x:v>dependent</x:v>
      </x:c>
      <x:c r="D101" s="26" t="n">
        <x:v>91</x:v>
      </x:c>
      <x:c r="E101" s="26" t="str">
        <x:v>Audit and adaptive update</x:v>
      </x:c>
      <x:c r="F101" s="26" t="str">
        <x:v>The non-transitory computer-readable medium of claim 91, wherein the instructions cause the one or more processors to store an event record for the population-control operation and subsequently update a population registry, model calibration, or treatment-status record based on information associated with the population-control operation.</x:v>
      </x:c>
      <x:c r="G101" s="26" t="str">
        <x:v>drafted</x:v>
      </x:c>
      <x:c r="H101" s="26" t="str">
        <x:v>prior-art risk</x:v>
      </x:c>
      <x:c r="I101" s="28" t="n">
        <x:v>46268</x:v>
      </x:c>
      <x:c r="J101" s="26" t="str">
        <x:v>Provisional/nonprovisional conversion claim probe; not a filing ceiling</x:v>
      </x:c>
      <x:c r="K101" s="26" t="str">
        <x:v>[0030]-[0189]; [0331]-[0360]</x:v>
      </x:c>
    </x:row>
    <x:row r="102">
      <x:c r="A102" s="26" t="n">
        <x:v>101</x:v>
      </x:c>
      <x:c r="B102" s="26" t="str">
        <x:v>P-U1</x:v>
      </x:c>
      <x:c r="C102" s="26" t="str">
        <x:v>independent</x:v>
      </x:c>
      <x:c r="D102" s="26"/>
      <x:c r="E102" s="26" t="str">
        <x:v>Predetermined/specified toxicant</x:v>
      </x:c>
      <x:c r="F102" s="26" t="str">
        <x:v>A method of controlling feral pigs using a predetermined toxicant, comprising: acquiring audio data, video data, or both from a treatment location; processing the acquired data using recognition technology to determine that one or more feral pigs are present; determining that a treatment-authorization condition is satisfied; and, in response to satisfaction of the treatment-authorization condition, selectively making available or administering to at least one feral pig a population-control treatment comprising a predetermined toxic active ingredient selected before the treatment event.</x:v>
      </x:c>
      <x:c r="G102" s="26" t="str">
        <x:v>drafted</x:v>
      </x:c>
      <x:c r="H102" s="26" t="str">
        <x:v>prior-art risk; regulatory/deployment issue; 112(b)</x:v>
      </x:c>
      <x:c r="I102" s="28" t="n">
        <x:v>46268</x:v>
      </x:c>
      <x:c r="J102" s="26" t="str">
        <x:v>Provisional/nonprovisional conversion claim probe; not a filing ceiling</x:v>
      </x:c>
      <x:c r="K102" s="26" t="str">
        <x:v>[0140]-[0155]; toxicant embodiments; [0240]-[0260]; specified-toxicant section to expand</x:v>
      </x:c>
    </x:row>
    <x:row r="103">
      <x:c r="A103" s="26" t="n">
        <x:v>102</x:v>
      </x:c>
      <x:c r="B103" s="26" t="str">
        <x:v>P-U1</x:v>
      </x:c>
      <x:c r="C103" s="26" t="str">
        <x:v>dependent</x:v>
      </x:c>
      <x:c r="D103" s="26" t="n">
        <x:v>101</x:v>
      </x:c>
      <x:c r="E103" s="26" t="str">
        <x:v>Warfarin species</x:v>
      </x:c>
      <x:c r="F103" s="26" t="str">
        <x:v>The method of claim 101, wherein the predetermined toxic active ingredient comprises warfarin.</x:v>
      </x:c>
      <x:c r="G103" s="26" t="str">
        <x:v>drafted</x:v>
      </x:c>
      <x:c r="H103" s="26" t="str">
        <x:v>prior-art risk; regulatory/deployment issue</x:v>
      </x:c>
      <x:c r="I103" s="28" t="n">
        <x:v>46268</x:v>
      </x:c>
      <x:c r="J103" s="26" t="str">
        <x:v>Provisional/nonprovisional conversion claim probe; not a filing ceiling</x:v>
      </x:c>
      <x:c r="K103" s="26" t="str">
        <x:v>[0140]-[0155]; toxicant embodiments; [0240]-[0260]; specified-toxicant section to expand</x:v>
      </x:c>
    </x:row>
    <x:row r="104">
      <x:c r="A104" s="26" t="n">
        <x:v>103</x:v>
      </x:c>
      <x:c r="B104" s="26" t="str">
        <x:v>P-U1</x:v>
      </x:c>
      <x:c r="C104" s="26" t="str">
        <x:v>dependent</x:v>
      </x:c>
      <x:c r="D104" s="26" t="n">
        <x:v>101</x:v>
      </x:c>
      <x:c r="E104" s="26" t="str">
        <x:v>Sodium nitrite species</x:v>
      </x:c>
      <x:c r="F104" s="26" t="str">
        <x:v>The method of claim 101, wherein the predetermined toxic active ingredient comprises sodium nitrite.</x:v>
      </x:c>
      <x:c r="G104" s="26" t="str">
        <x:v>drafted</x:v>
      </x:c>
      <x:c r="H104" s="26" t="str">
        <x:v>prior-art risk; regulatory/deployment issue; written-description gap</x:v>
      </x:c>
      <x:c r="I104" s="28" t="n">
        <x:v>46268</x:v>
      </x:c>
      <x:c r="J104" s="26" t="str">
        <x:v>Provisional/nonprovisional conversion claim probe; not a filing ceiling</x:v>
      </x:c>
      <x:c r="K104" s="26" t="str">
        <x:v>[0140]-[0155]; toxicant embodiments; [0240]-[0260]; specified-toxicant section to expand</x:v>
      </x:c>
    </x:row>
    <x:row r="105">
      <x:c r="A105" s="26" t="n">
        <x:v>104</x:v>
      </x:c>
      <x:c r="B105" s="26" t="str">
        <x:v>P-U1</x:v>
      </x:c>
      <x:c r="C105" s="26" t="str">
        <x:v>dependent</x:v>
      </x:c>
      <x:c r="D105" s="26" t="n">
        <x:v>101</x:v>
      </x:c>
      <x:c r="E105" s="26" t="str">
        <x:v>Legally authorized feral-swine toxicant</x:v>
      </x:c>
      <x:c r="F105" s="26" t="str">
        <x:v>The method of claim 101, wherein the predetermined toxic active ingredient comprises an active ingredient contained in a pesticide product registered or otherwise legally authorized for feral-swine control at the location of use.</x:v>
      </x:c>
      <x:c r="G105" s="26" t="str">
        <x:v>drafted</x:v>
      </x:c>
      <x:c r="H105" s="26" t="str">
        <x:v>prior-art risk; regulatory/deployment issue; 112(b)</x:v>
      </x:c>
      <x:c r="I105" s="28" t="n">
        <x:v>46268</x:v>
      </x:c>
      <x:c r="J105" s="26" t="str">
        <x:v>Provisional/nonprovisional conversion claim probe; not a filing ceiling</x:v>
      </x:c>
      <x:c r="K105" s="26" t="str">
        <x:v>[0140]-[0155]; toxicant embodiments; [0240]-[0260]; specified-toxicant section to expand</x:v>
      </x:c>
    </x:row>
    <x:row r="106">
      <x:c r="A106" s="26" t="n">
        <x:v>105</x:v>
      </x:c>
      <x:c r="B106" s="26" t="str">
        <x:v>P-U1</x:v>
      </x:c>
      <x:c r="C106" s="26" t="str">
        <x:v>dependent</x:v>
      </x:c>
      <x:c r="D106" s="26" t="n">
        <x:v>101</x:v>
      </x:c>
      <x:c r="E106" s="26" t="str">
        <x:v>Specified nonselective toxicant + selective delivery</x:v>
      </x:c>
      <x:c r="F106" s="26" t="str">
        <x:v>The method of claim 101, wherein the predetermined toxic active ingredient is not inherently selective for feral pigs, and wherein selectivity is provided by recognition-gated physical access, dispensing, exposure location, exposure timing, or a combination thereof.</x:v>
      </x:c>
      <x:c r="G106" s="26" t="str">
        <x:v>drafted</x:v>
      </x:c>
      <x:c r="H106" s="26" t="str">
        <x:v>prior-art risk; regulatory/deployment issue</x:v>
      </x:c>
      <x:c r="I106" s="28" t="n">
        <x:v>46268</x:v>
      </x:c>
      <x:c r="J106" s="26" t="str">
        <x:v>Provisional/nonprovisional conversion claim probe; not a filing ceiling</x:v>
      </x:c>
      <x:c r="K106" s="26" t="str">
        <x:v>[0140]-[0155]; toxicant embodiments; [0240]-[0260]; specified-toxicant section to expand</x:v>
      </x:c>
    </x:row>
    <x:row r="107">
      <x:c r="A107" s="26" t="n">
        <x:v>106</x:v>
      </x:c>
      <x:c r="B107" s="26" t="str">
        <x:v>P-U1</x:v>
      </x:c>
      <x:c r="C107" s="26" t="str">
        <x:v>dependent</x:v>
      </x:c>
      <x:c r="D107" s="26" t="n">
        <x:v>101</x:v>
      </x:c>
      <x:c r="E107" s="26" t="str">
        <x:v>Specified toxicant with differential susceptibility</x:v>
      </x:c>
      <x:c r="F107" s="26" t="str">
        <x:v>The method of claim 101, wherein the predetermined toxic active ingredient has a toxicological property that provides greater susceptibility in feral pigs than in at least one selected non-target species under intended use conditions.</x:v>
      </x:c>
      <x:c r="G107" s="26" t="str">
        <x:v>drafted</x:v>
      </x:c>
      <x:c r="H107" s="26" t="str">
        <x:v>prior-art risk; regulatory/deployment issue; 112(b); written-description gap</x:v>
      </x:c>
      <x:c r="I107" s="28" t="n">
        <x:v>46268</x:v>
      </x:c>
      <x:c r="J107" s="26" t="str">
        <x:v>Provisional/nonprovisional conversion claim probe; not a filing ceiling</x:v>
      </x:c>
      <x:c r="K107" s="26" t="str">
        <x:v>[0140]-[0155]; toxicant embodiments; [0240]-[0260]; specified-toxicant section to expand</x:v>
      </x:c>
    </x:row>
    <x:row r="108">
      <x:c r="A108" s="26" t="n">
        <x:v>107</x:v>
      </x:c>
      <x:c r="B108" s="26" t="str">
        <x:v>P-U1</x:v>
      </x:c>
      <x:c r="C108" s="26" t="str">
        <x:v>dependent</x:v>
      </x:c>
      <x:c r="D108" s="26" t="n">
        <x:v>101</x:v>
      </x:c>
      <x:c r="E108" s="26" t="str">
        <x:v>Feed carrier for specified toxicant</x:v>
      </x:c>
      <x:c r="F108" s="26" t="str">
        <x:v>The method of claim 101, wherein the population-control treatment comprises feed or bait containing, carrying, coating, encapsulating, or otherwise associated with the predetermined toxic active ingredient.</x:v>
      </x:c>
      <x:c r="G108" s="26" t="str">
        <x:v>drafted</x:v>
      </x:c>
      <x:c r="H108" s="26" t="str">
        <x:v>prior-art risk; regulatory/deployment issue</x:v>
      </x:c>
      <x:c r="I108" s="28" t="n">
        <x:v>46268</x:v>
      </x:c>
      <x:c r="J108" s="26" t="str">
        <x:v>Provisional/nonprovisional conversion claim probe; not a filing ceiling</x:v>
      </x:c>
      <x:c r="K108" s="26" t="str">
        <x:v>[0140]-[0155]; toxicant embodiments; [0240]-[0260]; specified-toxicant section to expand</x:v>
      </x:c>
    </x:row>
    <x:row r="109">
      <x:c r="A109" s="26" t="n">
        <x:v>108</x:v>
      </x:c>
      <x:c r="B109" s="26" t="str">
        <x:v>P-U1</x:v>
      </x:c>
      <x:c r="C109" s="26" t="str">
        <x:v>dependent</x:v>
      </x:c>
      <x:c r="D109" s="26" t="n">
        <x:v>101</x:v>
      </x:c>
      <x:c r="E109" s="26" t="str">
        <x:v>Specified toxicant + local-population gate</x:v>
      </x:c>
      <x:c r="F109" s="26" t="str">
        <x:v>The method of claim 101, further comprising maintaining a machine-generated working population set representing a local feral pig population and withholding the population-control treatment until a population-presence criterion based on the working population set is satisfied.</x:v>
      </x:c>
      <x:c r="G109" s="26" t="str">
        <x:v>drafted</x:v>
      </x:c>
      <x:c r="H109" s="26" t="str">
        <x:v>prior-art risk; regulatory/deployment issue</x:v>
      </x:c>
      <x:c r="I109" s="28" t="n">
        <x:v>46268</x:v>
      </x:c>
      <x:c r="J109" s="26" t="str">
        <x:v>Provisional/nonprovisional conversion claim probe; not a filing ceiling</x:v>
      </x:c>
      <x:c r="K109" s="26" t="str">
        <x:v>[0140]-[0155]; toxicant embodiments; [0240]-[0260]; specified-toxicant section to expand</x:v>
      </x:c>
    </x:row>
    <x:row r="110">
      <x:c r="A110" s="26" t="n">
        <x:v>109</x:v>
      </x:c>
      <x:c r="B110" s="26" t="str">
        <x:v>P-U1</x:v>
      </x:c>
      <x:c r="C110" s="26" t="str">
        <x:v>dependent</x:v>
      </x:c>
      <x:c r="D110" s="26" t="n">
        <x:v>101</x:v>
      </x:c>
      <x:c r="E110" s="26" t="str">
        <x:v>Specified toxicant safety veto</x:v>
      </x:c>
      <x:c r="F110" s="26" t="str">
        <x:v>The method of claim 101, wherein the treatment-authorization condition is inhibited by detection of a human, a protected species, a domestic animal, a non-target animal, an unknown animal classification, insufficient recognition confidence, or a treatment-delivery fault.</x:v>
      </x:c>
      <x:c r="G110" s="26" t="str">
        <x:v>drafted</x:v>
      </x:c>
      <x:c r="H110" s="26" t="str">
        <x:v>prior-art risk; regulatory/deployment issue</x:v>
      </x:c>
      <x:c r="I110" s="28" t="n">
        <x:v>46268</x:v>
      </x:c>
      <x:c r="J110" s="26" t="str">
        <x:v>Provisional/nonprovisional conversion claim probe; not a filing ceiling</x:v>
      </x:c>
      <x:c r="K110" s="26" t="str">
        <x:v>[0140]-[0155]; toxicant embodiments; [0240]-[0260]; specified-toxicant section to expand</x:v>
      </x:c>
    </x:row>
    <x:row r="111">
      <x:c r="A111" s="26" t="n">
        <x:v>110</x:v>
      </x:c>
      <x:c r="B111" s="26" t="str">
        <x:v>P-U1</x:v>
      </x:c>
      <x:c r="C111" s="26" t="str">
        <x:v>dependent</x:v>
      </x:c>
      <x:c r="D111" s="26" t="n">
        <x:v>101</x:v>
      </x:c>
      <x:c r="E111" s="26" t="str">
        <x:v>Specified toxicant + pretrained/local-adapted AI</x:v>
      </x:c>
      <x:c r="F111" s="26" t="str">
        <x:v>The method of claim 101, wherein the recognition technology comprises a machine-learning model pretrained to distinguish feral pigs from non-target fauna and subsequently trained, fine-tuned, calibrated, or otherwise adapted using sensor data collected from the treatment location or a surrounding local region.</x:v>
      </x:c>
      <x:c r="G111" s="26" t="str">
        <x:v>drafted</x:v>
      </x:c>
      <x:c r="H111" s="26" t="str">
        <x:v>prior-art risk; regulatory/deployment issue</x:v>
      </x:c>
      <x:c r="I111" s="28" t="n">
        <x:v>46268</x:v>
      </x:c>
      <x:c r="J111" s="26" t="str">
        <x:v>Provisional/nonprovisional conversion claim probe; not a filing ceiling</x:v>
      </x:c>
      <x:c r="K111" s="26" t="str">
        <x:v>[0140]-[0155]; toxicant embodiments; [0240]-[0260]; specified-toxicant section to expand</x:v>
      </x:c>
    </x:row>
    <x:row r="112">
      <x:c r="A112" s="26" t="n">
        <x:v>111</x:v>
      </x:c>
      <x:c r="B112" s="26" t="str">
        <x:v>P-U1</x:v>
      </x:c>
      <x:c r="C112" s="26" t="str">
        <x:v>independent</x:v>
      </x:c>
      <x:c r="D112" s="26"/>
      <x:c r="E112" s="26" t="str">
        <x:v>Generic target-animal population control</x:v>
      </x:c>
      <x:c r="F112" s="26" t="str">
        <x:v>A method of controlling a population of target animals, comprising: acquiring audio data, video data, or both from a monitored area; processing the acquired data using recognition technology to distinguish at least one target animal from at least one non-target animal or non-target condition; based at least in part on the recognition technology, selectively authorizing a population-control operation directed to the at least one target animal, the population-control operation being configured to reduce survival, fertility, reproductive success, population growth, population persistence, or damaging activity of the population of target animals; and inhibiting the population-control operation when a non-target or safety condition is detected.</x:v>
      </x:c>
      <x:c r="G112" s="26" t="str">
        <x:v>drafted</x:v>
      </x:c>
      <x:c r="H112" s="26" t="str">
        <x:v>prior-art risk; written-description gap; enablement gap; restriction risk</x:v>
      </x:c>
      <x:c r="I112" s="28" t="n">
        <x:v>46268</x:v>
      </x:c>
      <x:c r="J112" s="26" t="str">
        <x:v>Provisional/nonprovisional conversion claim probe; not a filing ceiling</x:v>
      </x:c>
      <x:c r="K112" s="26" t="str">
        <x:v>Other-animal genus / attraction-trough / KAPUT-specific specification sections to be expanded</x:v>
      </x:c>
    </x:row>
    <x:row r="113">
      <x:c r="A113" s="26" t="n">
        <x:v>112</x:v>
      </x:c>
      <x:c r="B113" s="26" t="str">
        <x:v>P-U1</x:v>
      </x:c>
      <x:c r="C113" s="26" t="str">
        <x:v>dependent</x:v>
      </x:c>
      <x:c r="D113" s="26" t="n">
        <x:v>111</x:v>
      </x:c>
      <x:c r="E113" s="26" t="str">
        <x:v>Controlled/invasive animal population</x:v>
      </x:c>
      <x:c r="F113" s="26" t="str">
        <x:v>The method of claim 111, wherein the target animals comprise an invasive, feral, nuisance, overabundant, agricultural-damage, disease-vector, or otherwise controlled animal population.</x:v>
      </x:c>
      <x:c r="G113" s="26" t="str">
        <x:v>drafted</x:v>
      </x:c>
      <x:c r="H113" s="26" t="str">
        <x:v>prior-art risk; written-description gap; enablement gap; restriction risk</x:v>
      </x:c>
      <x:c r="I113" s="28" t="n">
        <x:v>46268</x:v>
      </x:c>
      <x:c r="J113" s="26" t="str">
        <x:v>Provisional/nonprovisional conversion claim probe; not a filing ceiling</x:v>
      </x:c>
      <x:c r="K113" s="26" t="str">
        <x:v>Other-animal genus / attraction-trough / KAPUT-specific specification sections to be expanded</x:v>
      </x:c>
    </x:row>
    <x:row r="114">
      <x:c r="A114" s="26" t="n">
        <x:v>113</x:v>
      </x:c>
      <x:c r="B114" s="26" t="str">
        <x:v>P-U1</x:v>
      </x:c>
      <x:c r="C114" s="26" t="str">
        <x:v>dependent</x:v>
      </x:c>
      <x:c r="D114" s="26" t="n">
        <x:v>111</x:v>
      </x:c>
      <x:c r="E114" s="26" t="str">
        <x:v>Terrestrial mammals</x:v>
      </x:c>
      <x:c r="F114" s="26" t="str">
        <x:v>The method of claim 111, wherein the target animals comprise terrestrial mammals.</x:v>
      </x:c>
      <x:c r="G114" s="26" t="str">
        <x:v>drafted</x:v>
      </x:c>
      <x:c r="H114" s="26" t="str">
        <x:v>prior-art risk; written-description gap; enablement gap; restriction risk</x:v>
      </x:c>
      <x:c r="I114" s="28" t="n">
        <x:v>46268</x:v>
      </x:c>
      <x:c r="J114" s="26" t="str">
        <x:v>Provisional/nonprovisional conversion claim probe; not a filing ceiling</x:v>
      </x:c>
      <x:c r="K114" s="26" t="str">
        <x:v>Other-animal genus / attraction-trough / KAPUT-specific specification sections to be expanded</x:v>
      </x:c>
    </x:row>
    <x:row r="115">
      <x:c r="A115" s="26" t="n">
        <x:v>114</x:v>
      </x:c>
      <x:c r="B115" s="26" t="str">
        <x:v>P-U1</x:v>
      </x:c>
      <x:c r="C115" s="26" t="str">
        <x:v>dependent</x:v>
      </x:c>
      <x:c r="D115" s="26" t="n">
        <x:v>111</x:v>
      </x:c>
      <x:c r="E115" s="26" t="str">
        <x:v>Birds</x:v>
      </x:c>
      <x:c r="F115" s="26" t="str">
        <x:v>The method of claim 111, wherein the target animals comprise birds.</x:v>
      </x:c>
      <x:c r="G115" s="26" t="str">
        <x:v>drafted</x:v>
      </x:c>
      <x:c r="H115" s="26" t="str">
        <x:v>prior-art risk; written-description gap; enablement gap; restriction risk</x:v>
      </x:c>
      <x:c r="I115" s="28" t="n">
        <x:v>46268</x:v>
      </x:c>
      <x:c r="J115" s="26" t="str">
        <x:v>Provisional/nonprovisional conversion claim probe; not a filing ceiling</x:v>
      </x:c>
      <x:c r="K115" s="26" t="str">
        <x:v>Other-animal genus / attraction-trough / KAPUT-specific specification sections to be expanded</x:v>
      </x:c>
    </x:row>
    <x:row r="116">
      <x:c r="A116" s="26" t="n">
        <x:v>115</x:v>
      </x:c>
      <x:c r="B116" s="26" t="str">
        <x:v>P-U1</x:v>
      </x:c>
      <x:c r="C116" s="26" t="str">
        <x:v>dependent</x:v>
      </x:c>
      <x:c r="D116" s="26" t="n">
        <x:v>111</x:v>
      </x:c>
      <x:c r="E116" s="26" t="str">
        <x:v>Reptiles/amphibians</x:v>
      </x:c>
      <x:c r="F116" s="26" t="str">
        <x:v>The method of claim 111, wherein the target animals comprise reptiles or amphibians.</x:v>
      </x:c>
      <x:c r="G116" s="26" t="str">
        <x:v>drafted</x:v>
      </x:c>
      <x:c r="H116" s="26" t="str">
        <x:v>prior-art risk; written-description gap; enablement gap; restriction risk</x:v>
      </x:c>
      <x:c r="I116" s="28" t="n">
        <x:v>46268</x:v>
      </x:c>
      <x:c r="J116" s="26" t="str">
        <x:v>Provisional/nonprovisional conversion claim probe; not a filing ceiling</x:v>
      </x:c>
      <x:c r="K116" s="26" t="str">
        <x:v>Other-animal genus / attraction-trough / KAPUT-specific specification sections to be expanded</x:v>
      </x:c>
    </x:row>
    <x:row r="117">
      <x:c r="A117" s="26" t="n">
        <x:v>116</x:v>
      </x:c>
      <x:c r="B117" s="26" t="str">
        <x:v>P-U1</x:v>
      </x:c>
      <x:c r="C117" s="26" t="str">
        <x:v>dependent</x:v>
      </x:c>
      <x:c r="D117" s="26" t="n">
        <x:v>111</x:v>
      </x:c>
      <x:c r="E117" s="26" t="str">
        <x:v>Aquatic vertebrates</x:v>
      </x:c>
      <x:c r="F117" s="26" t="str">
        <x:v>The method of claim 111, wherein the target animals comprise aquatic vertebrates.</x:v>
      </x:c>
      <x:c r="G117" s="26" t="str">
        <x:v>drafted</x:v>
      </x:c>
      <x:c r="H117" s="26" t="str">
        <x:v>prior-art risk; written-description gap; enablement gap; restriction risk</x:v>
      </x:c>
      <x:c r="I117" s="28" t="n">
        <x:v>46268</x:v>
      </x:c>
      <x:c r="J117" s="26" t="str">
        <x:v>Provisional/nonprovisional conversion claim probe; not a filing ceiling</x:v>
      </x:c>
      <x:c r="K117" s="26" t="str">
        <x:v>Other-animal genus / attraction-trough / KAPUT-specific specification sections to be expanded</x:v>
      </x:c>
    </x:row>
    <x:row r="118">
      <x:c r="A118" s="26" t="n">
        <x:v>117</x:v>
      </x:c>
      <x:c r="B118" s="26" t="str">
        <x:v>P-U1</x:v>
      </x:c>
      <x:c r="C118" s="26" t="str">
        <x:v>dependent</x:v>
      </x:c>
      <x:c r="D118" s="26" t="n">
        <x:v>111</x:v>
      </x:c>
      <x:c r="E118" s="26" t="str">
        <x:v>Arthropods</x:v>
      </x:c>
      <x:c r="F118" s="26" t="str">
        <x:v>The method of claim 111, wherein the target animals comprise arthropods.</x:v>
      </x:c>
      <x:c r="G118" s="26" t="str">
        <x:v>drafted</x:v>
      </x:c>
      <x:c r="H118" s="26" t="str">
        <x:v>prior-art risk; written-description gap; enablement gap; restriction risk</x:v>
      </x:c>
      <x:c r="I118" s="28" t="n">
        <x:v>46268</x:v>
      </x:c>
      <x:c r="J118" s="26" t="str">
        <x:v>Provisional/nonprovisional conversion claim probe; not a filing ceiling</x:v>
      </x:c>
      <x:c r="K118" s="26" t="str">
        <x:v>Other-animal genus / attraction-trough / KAPUT-specific specification sections to be expanded</x:v>
      </x:c>
    </x:row>
    <x:row r="119">
      <x:c r="A119" s="26" t="n">
        <x:v>118</x:v>
      </x:c>
      <x:c r="B119" s="26" t="str">
        <x:v>P-U1</x:v>
      </x:c>
      <x:c r="C119" s="26" t="str">
        <x:v>dependent</x:v>
      </x:c>
      <x:c r="D119" s="26" t="n">
        <x:v>111</x:v>
      </x:c>
      <x:c r="E119" s="26" t="str">
        <x:v>Target/non-target ML training</x:v>
      </x:c>
      <x:c r="F119" s="26" t="str">
        <x:v>The method of claim 111, wherein the recognition technology comprises a machine-learning model trained using positive training examples of the target animals and negative training examples of non-target fauna expected to occur in or near the monitored area.</x:v>
      </x:c>
      <x:c r="G119" s="26" t="str">
        <x:v>drafted</x:v>
      </x:c>
      <x:c r="H119" s="26" t="str">
        <x:v>prior-art risk; written-description gap; enablement gap; restriction risk</x:v>
      </x:c>
      <x:c r="I119" s="28" t="n">
        <x:v>46268</x:v>
      </x:c>
      <x:c r="J119" s="26" t="str">
        <x:v>Provisional/nonprovisional conversion claim probe; not a filing ceiling</x:v>
      </x:c>
      <x:c r="K119" s="26" t="str">
        <x:v>Other-animal genus / attraction-trough / KAPUT-specific specification sections to be expanded</x:v>
      </x:c>
    </x:row>
    <x:row r="120">
      <x:c r="A120" s="26" t="n">
        <x:v>119</x:v>
      </x:c>
      <x:c r="B120" s="26" t="str">
        <x:v>P-U1</x:v>
      </x:c>
      <x:c r="C120" s="26" t="str">
        <x:v>dependent</x:v>
      </x:c>
      <x:c r="D120" s="26" t="n">
        <x:v>111</x:v>
      </x:c>
      <x:c r="E120" s="26" t="str">
        <x:v>Generic population-control operation alternatives</x:v>
      </x:c>
      <x:c r="F120" s="26" t="str">
        <x:v>The method of claim 111, wherein the population-control operation comprises a lethal treatment, a toxicant treatment, a reproductive-control treatment, a genetic-modification treatment, selective feed delivery, capture followed by euthanasia, or a combination thereof.</x:v>
      </x:c>
      <x:c r="G120" s="26" t="str">
        <x:v>drafted</x:v>
      </x:c>
      <x:c r="H120" s="26" t="str">
        <x:v>prior-art risk; written-description gap; enablement gap; restriction risk</x:v>
      </x:c>
      <x:c r="I120" s="28" t="n">
        <x:v>46268</x:v>
      </x:c>
      <x:c r="J120" s="26" t="str">
        <x:v>Provisional/nonprovisional conversion claim probe; not a filing ceiling</x:v>
      </x:c>
      <x:c r="K120" s="26" t="str">
        <x:v>Other-animal genus / attraction-trough / KAPUT-specific specification sections to be expanded</x:v>
      </x:c>
    </x:row>
    <x:row r="121">
      <x:c r="A121" s="26" t="n">
        <x:v>120</x:v>
      </x:c>
      <x:c r="B121" s="26" t="str">
        <x:v>P-U1</x:v>
      </x:c>
      <x:c r="C121" s="26" t="str">
        <x:v>dependent</x:v>
      </x:c>
      <x:c r="D121" s="26" t="n">
        <x:v>111</x:v>
      </x:c>
      <x:c r="E121" s="26" t="str">
        <x:v>Generic target-animal local-population state</x:v>
      </x:c>
      <x:c r="F121" s="26" t="str">
        <x:v>The method of claim 111, further comprising learning over time a working population set representing recurring members, tracks, groups, or population states of the target animals and conditioning authorization of the population-control operation on a current population-state criterion derived from the working population set.</x:v>
      </x:c>
      <x:c r="G121" s="26" t="str">
        <x:v>drafted</x:v>
      </x:c>
      <x:c r="H121" s="26" t="str">
        <x:v>prior-art risk; written-description gap; enablement gap; restriction risk</x:v>
      </x:c>
      <x:c r="I121" s="28" t="n">
        <x:v>46268</x:v>
      </x:c>
      <x:c r="J121" s="26" t="str">
        <x:v>Provisional/nonprovisional conversion claim probe; not a filing ceiling</x:v>
      </x:c>
      <x:c r="K121" s="26" t="str">
        <x:v>Other-animal genus / attraction-trough / KAPUT-specific specification sections to be expanded</x:v>
      </x:c>
    </x:row>
    <x:row r="122">
      <x:c r="A122" s="26" t="n">
        <x:v>121</x:v>
      </x:c>
      <x:c r="B122" s="26" t="str">
        <x:v>P-U1</x:v>
      </x:c>
      <x:c r="C122" s="26" t="str">
        <x:v>independent</x:v>
      </x:c>
      <x:c r="D122" s="26"/>
      <x:c r="E122" s="26" t="str">
        <x:v>Attraction/conditioning + selective population-control station</x:v>
      </x:c>
      <x:c r="F122" s="26" t="str">
        <x:v>A method of attracting feral pigs to a population-control station and selectively delivering a population-control treatment, comprising: providing an attractant at or adjacent to a monitored population-control station comprising a trough, feeder, receptacle, enclosure, or treatment-access region; acquiring audio data, video data, or both representing feral pigs visiting or approaching the population-control station; processing the acquired data using recognition technology to distinguish feral pigs from non-target fauna; during an observation or conditioning period, selectively providing feed or another attractant to encourage repeated visits by feral pigs to the population-control station; and after satisfaction of a treatment-authorization condition, selectively providing or enabling a population-control treatment at the population-control station.</x:v>
      </x:c>
      <x:c r="G122" s="26" t="str">
        <x:v>drafted</x:v>
      </x:c>
      <x:c r="H122" s="26" t="str">
        <x:v>prior-art risk; regulatory/deployment issue</x:v>
      </x:c>
      <x:c r="I122" s="28" t="n">
        <x:v>46268</x:v>
      </x:c>
      <x:c r="J122" s="26" t="str">
        <x:v>Provisional/nonprovisional conversion claim probe; not a filing ceiling</x:v>
      </x:c>
      <x:c r="K122" s="26" t="str">
        <x:v>Other-animal genus / attraction-trough / KAPUT-specific specification sections to be expanded</x:v>
      </x:c>
    </x:row>
    <x:row r="123">
      <x:c r="A123" s="26" t="n">
        <x:v>122</x:v>
      </x:c>
      <x:c r="B123" s="26" t="str">
        <x:v>P-U1</x:v>
      </x:c>
      <x:c r="C123" s="26" t="str">
        <x:v>dependent</x:v>
      </x:c>
      <x:c r="D123" s="26" t="n">
        <x:v>121</x:v>
      </x:c>
      <x:c r="E123" s="26" t="str">
        <x:v>Feed/edible bait attractant</x:v>
      </x:c>
      <x:c r="F123" s="26" t="str">
        <x:v>The method of claim 121, wherein the attractant comprises feed or edible bait selected or configured to encourage feral pigs to visit, remain at, or repeatedly return to the population-control station.</x:v>
      </x:c>
      <x:c r="G123" s="26" t="str">
        <x:v>drafted</x:v>
      </x:c>
      <x:c r="H123" s="26" t="str">
        <x:v>prior-art risk; regulatory/deployment issue</x:v>
      </x:c>
      <x:c r="I123" s="28" t="n">
        <x:v>46268</x:v>
      </x:c>
      <x:c r="J123" s="26" t="str">
        <x:v>Provisional/nonprovisional conversion claim probe; not a filing ceiling</x:v>
      </x:c>
      <x:c r="K123" s="26" t="str">
        <x:v>Other-animal genus / attraction-trough / KAPUT-specific specification sections to be expanded</x:v>
      </x:c>
    </x:row>
    <x:row r="124">
      <x:c r="A124" s="26" t="n">
        <x:v>123</x:v>
      </x:c>
      <x:c r="B124" s="26" t="str">
        <x:v>P-U1</x:v>
      </x:c>
      <x:c r="C124" s="26" t="str">
        <x:v>dependent</x:v>
      </x:c>
      <x:c r="D124" s="26" t="n">
        <x:v>121</x:v>
      </x:c>
      <x:c r="E124" s="26" t="str">
        <x:v>Trough with controlled access</x:v>
      </x:c>
      <x:c r="F124" s="26" t="str">
        <x:v>The method of claim 121, wherein the population-control station comprises a trough having one or more feed or treatment compartments and at least one recognition-controlled access member, cover, lid, gate, door, barrier, or dispensing device.</x:v>
      </x:c>
      <x:c r="G124" s="26" t="str">
        <x:v>drafted</x:v>
      </x:c>
      <x:c r="H124" s="26" t="str">
        <x:v>prior-art risk; regulatory/deployment issue</x:v>
      </x:c>
      <x:c r="I124" s="28" t="n">
        <x:v>46268</x:v>
      </x:c>
      <x:c r="J124" s="26" t="str">
        <x:v>Provisional/nonprovisional conversion claim probe; not a filing ceiling</x:v>
      </x:c>
      <x:c r="K124" s="26" t="str">
        <x:v>Other-animal genus / attraction-trough / KAPUT-specific specification sections to be expanded</x:v>
      </x:c>
    </x:row>
    <x:row r="125">
      <x:c r="A125" s="26" t="n">
        <x:v>124</x:v>
      </x:c>
      <x:c r="B125" s="26" t="str">
        <x:v>P-U1</x:v>
      </x:c>
      <x:c r="C125" s="26" t="str">
        <x:v>dependent</x:v>
      </x:c>
      <x:c r="D125" s="26" t="n">
        <x:v>121</x:v>
      </x:c>
      <x:c r="E125" s="26" t="str">
        <x:v>Pre-baiting/conditioning feed</x:v>
      </x:c>
      <x:c r="F125" s="26" t="str">
        <x:v>The method of claim 121, wherein the observation or conditioning period comprises a pre-baiting period during which feed lacking the subsequently administered active population-control agent is provided before the population-control treatment is introduced.</x:v>
      </x:c>
      <x:c r="G125" s="26" t="str">
        <x:v>drafted</x:v>
      </x:c>
      <x:c r="H125" s="26" t="str">
        <x:v>prior-art risk; regulatory/deployment issue</x:v>
      </x:c>
      <x:c r="I125" s="28" t="n">
        <x:v>46268</x:v>
      </x:c>
      <x:c r="J125" s="26" t="str">
        <x:v>Provisional/nonprovisional conversion claim probe; not a filing ceiling</x:v>
      </x:c>
      <x:c r="K125" s="26" t="str">
        <x:v>Other-animal genus / attraction-trough / KAPUT-specific specification sections to be expanded</x:v>
      </x:c>
    </x:row>
    <x:row r="126">
      <x:c r="A126" s="26" t="n">
        <x:v>125</x:v>
      </x:c>
      <x:c r="B126" s="26" t="str">
        <x:v>P-U1</x:v>
      </x:c>
      <x:c r="C126" s="26" t="str">
        <x:v>dependent</x:v>
      </x:c>
      <x:c r="D126" s="26" t="n">
        <x:v>121</x:v>
      </x:c>
      <x:c r="E126" s="26" t="str">
        <x:v>Olfactory attractant</x:v>
      </x:c>
      <x:c r="F126" s="26" t="str">
        <x:v>The method of claim 121, wherein the attractant further comprises an olfactory attractant, flavorant, scent source, or other nonlethal lure used in combination with feed or edible bait.</x:v>
      </x:c>
      <x:c r="G126" s="26" t="str">
        <x:v>drafted</x:v>
      </x:c>
      <x:c r="H126" s="26" t="str">
        <x:v>prior-art risk; regulatory/deployment issue</x:v>
      </x:c>
      <x:c r="I126" s="28" t="n">
        <x:v>46268</x:v>
      </x:c>
      <x:c r="J126" s="26" t="str">
        <x:v>Provisional/nonprovisional conversion claim probe; not a filing ceiling</x:v>
      </x:c>
      <x:c r="K126" s="26" t="str">
        <x:v>Other-animal genus / attraction-trough / KAPUT-specific specification sections to be expanded</x:v>
      </x:c>
    </x:row>
    <x:row r="127">
      <x:c r="A127" s="26" t="n">
        <x:v>126</x:v>
      </x:c>
      <x:c r="B127" s="26" t="str">
        <x:v>P-U1</x:v>
      </x:c>
      <x:c r="C127" s="26" t="str">
        <x:v>dependent</x:v>
      </x:c>
      <x:c r="D127" s="26" t="n">
        <x:v>121</x:v>
      </x:c>
      <x:c r="E127" s="26" t="str">
        <x:v>Acoustic attractant</x:v>
      </x:c>
      <x:c r="F127" s="26" t="str">
        <x:v>The method of claim 121, wherein the attractant further comprises an acoustic cue or sound presentation configured to increase the probability that feral pigs approach or remain within the monitored population-control station.</x:v>
      </x:c>
      <x:c r="G127" s="26" t="str">
        <x:v>drafted</x:v>
      </x:c>
      <x:c r="H127" s="26" t="str">
        <x:v>prior-art risk; regulatory/deployment issue</x:v>
      </x:c>
      <x:c r="I127" s="28" t="n">
        <x:v>46268</x:v>
      </x:c>
      <x:c r="J127" s="26" t="str">
        <x:v>Provisional/nonprovisional conversion claim probe; not a filing ceiling</x:v>
      </x:c>
      <x:c r="K127" s="26" t="str">
        <x:v>Other-animal genus / attraction-trough / KAPUT-specific specification sections to be expanded</x:v>
      </x:c>
    </x:row>
    <x:row r="128">
      <x:c r="A128" s="26" t="n">
        <x:v>127</x:v>
      </x:c>
      <x:c r="B128" s="26" t="str">
        <x:v>P-U1</x:v>
      </x:c>
      <x:c r="C128" s="26" t="str">
        <x:v>dependent</x:v>
      </x:c>
      <x:c r="D128" s="26" t="n">
        <x:v>121</x:v>
      </x:c>
      <x:c r="E128" s="26" t="str">
        <x:v>Repeated conditioning during population learning</x:v>
      </x:c>
      <x:c r="F128" s="26" t="str">
        <x:v>The method of claim 121, further comprising repeatedly providing conditioning feed during a plurality of visits and withholding the population-control treatment while the recognition technology accumulates observations used to characterize a local feral pig population.</x:v>
      </x:c>
      <x:c r="G128" s="26" t="str">
        <x:v>drafted</x:v>
      </x:c>
      <x:c r="H128" s="26" t="str">
        <x:v>prior-art risk; regulatory/deployment issue</x:v>
      </x:c>
      <x:c r="I128" s="28" t="n">
        <x:v>46268</x:v>
      </x:c>
      <x:c r="J128" s="26" t="str">
        <x:v>Provisional/nonprovisional conversion claim probe; not a filing ceiling</x:v>
      </x:c>
      <x:c r="K128" s="26" t="str">
        <x:v>Other-animal genus / attraction-trough / KAPUT-specific specification sections to be expanded</x:v>
      </x:c>
    </x:row>
    <x:row r="129">
      <x:c r="A129" s="26" t="n">
        <x:v>128</x:v>
      </x:c>
      <x:c r="B129" s="26" t="str">
        <x:v>P-U1</x:v>
      </x:c>
      <x:c r="C129" s="26" t="str">
        <x:v>dependent</x:v>
      </x:c>
      <x:c r="D129" s="26" t="n">
        <x:v>121</x:v>
      </x:c>
      <x:c r="E129" s="26" t="str">
        <x:v>Transition from conditioning feed to active treatment feed</x:v>
      </x:c>
      <x:c r="F129" s="26" t="str">
        <x:v>The method of claim 121, wherein after the observation or conditioning period the population-control station transitions from selectively providing conditioning feed to selectively providing feed containing or associated with a lethal toxicant, a predetermined toxicant, a species-selective toxicant, a reproductive-control treatment, a genetic-modification treatment, or a combination thereof.</x:v>
      </x:c>
      <x:c r="G129" s="26" t="str">
        <x:v>drafted</x:v>
      </x:c>
      <x:c r="H129" s="26" t="str">
        <x:v>prior-art risk; regulatory/deployment issue</x:v>
      </x:c>
      <x:c r="I129" s="28" t="n">
        <x:v>46268</x:v>
      </x:c>
      <x:c r="J129" s="26" t="str">
        <x:v>Provisional/nonprovisional conversion claim probe; not a filing ceiling</x:v>
      </x:c>
      <x:c r="K129" s="26" t="str">
        <x:v>Other-animal genus / attraction-trough / KAPUT-specific specification sections to be expanded</x:v>
      </x:c>
    </x:row>
    <x:row r="130">
      <x:c r="A130" s="26" t="n">
        <x:v>129</x:v>
      </x:c>
      <x:c r="B130" s="26" t="str">
        <x:v>P-U1</x:v>
      </x:c>
      <x:c r="C130" s="26" t="str">
        <x:v>dependent</x:v>
      </x:c>
      <x:c r="D130" s="26" t="n">
        <x:v>121</x:v>
      </x:c>
      <x:c r="E130" s="26" t="str">
        <x:v>Population set learned at station</x:v>
      </x:c>
      <x:c r="F130" s="26" t="str">
        <x:v>The method of claim 121, further comprising maintaining a machine-generated working population set representing feral pigs repeatedly observed at the population-control station during the observation or conditioning period.</x:v>
      </x:c>
      <x:c r="G130" s="26" t="str">
        <x:v>drafted</x:v>
      </x:c>
      <x:c r="H130" s="26" t="str">
        <x:v>prior-art risk; regulatory/deployment issue</x:v>
      </x:c>
      <x:c r="I130" s="28" t="n">
        <x:v>46268</x:v>
      </x:c>
      <x:c r="J130" s="26" t="str">
        <x:v>Provisional/nonprovisional conversion claim probe; not a filing ceiling</x:v>
      </x:c>
      <x:c r="K130" s="26" t="str">
        <x:v>Other-animal genus / attraction-trough / KAPUT-specific specification sections to be expanded</x:v>
      </x:c>
    </x:row>
    <x:row r="131">
      <x:c r="A131" s="26" t="n">
        <x:v>130</x:v>
      </x:c>
      <x:c r="B131" s="26" t="str">
        <x:v>P-U1</x:v>
      </x:c>
      <x:c r="C131" s="26" t="str">
        <x:v>dependent</x:v>
      </x:c>
      <x:c r="D131" s="26" t="n">
        <x:v>121</x:v>
      </x:c>
      <x:c r="E131" s="26" t="str">
        <x:v>Population-state gate at station</x:v>
      </x:c>
      <x:c r="F131" s="26" t="str">
        <x:v>The method of claim 121, wherein the treatment-authorization condition comprises determining that all active members, a selected fraction of active members, a selected minimum number of members, or a selected treated-status subset represented in the working population set are present at the population-control station within a selected observation interval.</x:v>
      </x:c>
      <x:c r="G131" s="26" t="str">
        <x:v>drafted</x:v>
      </x:c>
      <x:c r="H131" s="26" t="str">
        <x:v>prior-art risk; regulatory/deployment issue</x:v>
      </x:c>
      <x:c r="I131" s="28" t="n">
        <x:v>46268</x:v>
      </x:c>
      <x:c r="J131" s="26" t="str">
        <x:v>Provisional/nonprovisional conversion claim probe; not a filing ceiling</x:v>
      </x:c>
      <x:c r="K131" s="26" t="str">
        <x:v>Other-animal genus / attraction-trough / KAPUT-specific specification sections to be expanded</x:v>
      </x:c>
    </x:row>
    <x:row r="132">
      <x:c r="A132" s="26" t="n">
        <x:v>131</x:v>
      </x:c>
      <x:c r="B132" s="26" t="str">
        <x:v>P-U1</x:v>
      </x:c>
      <x:c r="C132" s="26" t="str">
        <x:v>independent</x:v>
      </x:c>
      <x:c r="D132" s="26"/>
      <x:c r="E132" s="26" t="str">
        <x:v>KAPUT warfarin recognition-gated administration</x:v>
      </x:c>
      <x:c r="F132" s="26" t="str">
        <x:v>A method of selectively administering a warfarin feral-hog bait corresponding to EPA Registration No. 72500-26 and commercially identified as KAPUT® Feral Hog Bait, comprising: monitoring a treatment station using audio sensing, video sensing, or both; processing sensor data using recognition technology to distinguish feral pigs from non-target fauna; maintaining the bait in a restricted-access state; and selectively permitting access to or dispensing the bait in response to satisfaction of a feral-pig treatment-authorization condition, while inhibiting access or dispensing in response to a non-target or safety condition.</x:v>
      </x:c>
      <x:c r="G132" s="26" t="str">
        <x:v>drafted</x:v>
      </x:c>
      <x:c r="H132" s="26" t="str">
        <x:v>prior-art risk; regulatory/deployment issue; 112(b)</x:v>
      </x:c>
      <x:c r="I132" s="28" t="n">
        <x:v>46268</x:v>
      </x:c>
      <x:c r="J132" s="26" t="str">
        <x:v>Provisional/nonprovisional conversion claim probe; not a filing ceiling</x:v>
      </x:c>
      <x:c r="K132" s="26" t="str">
        <x:v>Other-animal genus / attraction-trough / KAPUT-specific specification sections to be expanded</x:v>
      </x:c>
    </x:row>
    <x:row r="133">
      <x:c r="A133" s="26" t="n">
        <x:v>132</x:v>
      </x:c>
      <x:c r="B133" s="26" t="str">
        <x:v>P-U1</x:v>
      </x:c>
      <x:c r="C133" s="26" t="str">
        <x:v>dependent</x:v>
      </x:c>
      <x:c r="D133" s="26" t="n">
        <x:v>131</x:v>
      </x:c>
      <x:c r="E133" s="26" t="str">
        <x:v>KAPUT warfarin 0.005%</x:v>
      </x:c>
      <x:c r="F133" s="26" t="str">
        <x:v>The method of claim 131, wherein the bait comprises warfarin at 0.005 percent active ingredient as identified in an EPA-accepted label for EPA Registration No. 72500-26.</x:v>
      </x:c>
      <x:c r="G133" s="26" t="str">
        <x:v>drafted</x:v>
      </x:c>
      <x:c r="H133" s="26" t="str">
        <x:v>prior-art risk; regulatory/deployment issue</x:v>
      </x:c>
      <x:c r="I133" s="28" t="n">
        <x:v>46268</x:v>
      </x:c>
      <x:c r="J133" s="26" t="str">
        <x:v>Provisional/nonprovisional conversion claim probe; not a filing ceiling</x:v>
      </x:c>
      <x:c r="K133" s="26" t="str">
        <x:v>Other-animal genus / attraction-trough / KAPUT-specific specification sections to be expanded</x:v>
      </x:c>
    </x:row>
    <x:row r="134">
      <x:c r="A134" s="26" t="n">
        <x:v>133</x:v>
      </x:c>
      <x:c r="B134" s="26" t="str">
        <x:v>P-U1</x:v>
      </x:c>
      <x:c r="C134" s="26" t="str">
        <x:v>dependent</x:v>
      </x:c>
      <x:c r="D134" s="26" t="n">
        <x:v>131</x:v>
      </x:c>
      <x:c r="E134" s="26" t="str">
        <x:v>KAPUT trough/feeder access</x:v>
      </x:c>
      <x:c r="F134" s="26" t="str">
        <x:v>The method of claim 131, wherein the treatment station comprises a trough, feeder, receptacle, or compartment having a recognition-controlled access member that is normally maintained in the restricted-access state.</x:v>
      </x:c>
      <x:c r="G134" s="26" t="str">
        <x:v>drafted</x:v>
      </x:c>
      <x:c r="H134" s="26" t="str">
        <x:v>prior-art risk; regulatory/deployment issue</x:v>
      </x:c>
      <x:c r="I134" s="28" t="n">
        <x:v>46268</x:v>
      </x:c>
      <x:c r="J134" s="26" t="str">
        <x:v>Provisional/nonprovisional conversion claim probe; not a filing ceiling</x:v>
      </x:c>
      <x:c r="K134" s="26" t="str">
        <x:v>Other-animal genus / attraction-trough / KAPUT-specific specification sections to be expanded</x:v>
      </x:c>
    </x:row>
    <x:row r="135">
      <x:c r="A135" s="26" t="n">
        <x:v>134</x:v>
      </x:c>
      <x:c r="B135" s="26" t="str">
        <x:v>P-U1</x:v>
      </x:c>
      <x:c r="C135" s="26" t="str">
        <x:v>dependent</x:v>
      </x:c>
      <x:c r="D135" s="26" t="n">
        <x:v>131</x:v>
      </x:c>
      <x:c r="E135" s="26" t="str">
        <x:v>KAPUT + learned local population</x:v>
      </x:c>
      <x:c r="F135" s="26" t="str">
        <x:v>The method of claim 131, further comprising learning over a plurality of visits a working population set representing a local feral pig population and withholding access to the bait until a population-presence criterion based on the working population set is satisfied.</x:v>
      </x:c>
      <x:c r="G135" s="26" t="str">
        <x:v>drafted</x:v>
      </x:c>
      <x:c r="H135" s="26" t="str">
        <x:v>prior-art risk; regulatory/deployment issue</x:v>
      </x:c>
      <x:c r="I135" s="28" t="n">
        <x:v>46268</x:v>
      </x:c>
      <x:c r="J135" s="26" t="str">
        <x:v>Provisional/nonprovisional conversion claim probe; not a filing ceiling</x:v>
      </x:c>
      <x:c r="K135" s="26" t="str">
        <x:v>Other-animal genus / attraction-trough / KAPUT-specific specification sections to be expanded</x:v>
      </x:c>
    </x:row>
    <x:row r="136">
      <x:c r="A136" s="26" t="n">
        <x:v>135</x:v>
      </x:c>
      <x:c r="B136" s="26" t="str">
        <x:v>P-U1</x:v>
      </x:c>
      <x:c r="C136" s="26" t="str">
        <x:v>dependent</x:v>
      </x:c>
      <x:c r="D136" s="26" t="n">
        <x:v>131</x:v>
      </x:c>
      <x:c r="E136" s="26" t="str">
        <x:v>KAPUT non-target safety veto</x:v>
      </x:c>
      <x:c r="F136" s="26" t="str">
        <x:v>The method of claim 131, wherein detection of a human, domestic animal, protected species, non-target wildlife species, or unknown animal classification causes the bait to remain inaccessible or causes an access member to return to the restricted-access state.</x:v>
      </x:c>
      <x:c r="G136" s="26" t="str">
        <x:v>drafted</x:v>
      </x:c>
      <x:c r="H136" s="26" t="str">
        <x:v>prior-art risk; regulatory/deployment issue</x:v>
      </x:c>
      <x:c r="I136" s="28" t="n">
        <x:v>46268</x:v>
      </x:c>
      <x:c r="J136" s="26" t="str">
        <x:v>Provisional/nonprovisional conversion claim probe; not a filing ceiling</x:v>
      </x:c>
      <x:c r="K136" s="26" t="str">
        <x:v>Other-animal genus / attraction-trough / KAPUT-specific specification sections to be expanded</x:v>
      </x:c>
    </x:row>
    <x:row r="137">
      <x:c r="A137" s="26" t="n">
        <x:v>136</x:v>
      </x:c>
      <x:c r="B137" s="26" t="str">
        <x:v>P-U1</x:v>
      </x:c>
      <x:c r="C137" s="26" t="str">
        <x:v>independent</x:v>
      </x:c>
      <x:c r="D137" s="26"/>
      <x:c r="E137" s="26" t="str">
        <x:v>Versioned longitudinal local-population completeness authorization</x:v>
      </x:c>
      <x:c r="F137" s="26" t="str">
        <x:v>A method of controlling a local feral pig population, comprising: over a plurality of temporally separated observation sessions, acquiring audio data, video data, or both from a monitored population-control location; processing the acquired data to generate respective identity records for feral pigs repeatedly observed at the monitored population-control location and maintaining a versioned working population set containing active identity records; determining that a population-representation criterion is satisfied after observation data satisfying a sensor-coverage criterion indicates that the working population set has stabilized under a configured discovery rule; after the population-representation criterion is satisfied, acquiring current sensor data during a treatment-evaluation interval; associating feral-pig observations represented in the current sensor data with the active identity records under a one-to-one association rule and designating a feral-pig observation that cannot be associated with an active identity record at a selected confidence as an unresolved observation; determining that an exact-completeness condition is satisfied when each required active identity record is associated with a distinct current feral-pig observation satisfying a selected recency rule and no unresolved feral-pig observation is present in a treatment zone; generating a treatment-authorization state bound to a version of the working population set in response to satisfaction of the exact-completeness condition; and selectively enabling a population-control treatment while the treatment-authorization state remains valid, wherein a change in the versioned working population set, failure of the exact-completeness condition, or detection of a non-target condition invalidates the treatment-authorization state.</x:v>
      </x:c>
      <x:c r="G137" s="26" t="str">
        <x:v>drafted</x:v>
      </x:c>
      <x:c r="H137" s="26" t="str">
        <x:v>prior-art risk; written-description gap; enablement gap; 112(b); inventorship/ownership issue</x:v>
      </x:c>
      <x:c r="I137" s="28" t="n">
        <x:v>46268</x:v>
      </x:c>
      <x:c r="J137" s="26" t="str">
        <x:v>Focused support/patentability probe; no claim-count ceiling</x:v>
      </x:c>
      <x:c r="K137" s="26" t="str">
        <x:v>[0090]-[0136]; [0137]-[0145]; FIGS. 4-8, 11</x:v>
      </x:c>
    </x:row>
    <x:row r="138">
      <x:c r="A138" s="26" t="n">
        <x:v>137</x:v>
      </x:c>
      <x:c r="B138" s="26" t="str">
        <x:v>P-U1</x:v>
      </x:c>
      <x:c r="C138" s="26" t="str">
        <x:v>dependent</x:v>
      </x:c>
      <x:c r="D138" s="26" t="n">
        <x:v>136</x:v>
      </x:c>
      <x:c r="E138" s="26" t="str">
        <x:v>Multimodal individual association evidence</x:v>
      </x:c>
      <x:c r="F138" s="26" t="str">
        <x:v>The method of claim 136, wherein generating the respective identity records comprises associating observations obtained during different observation sessions using identity evidence comprising at least two evidence types selected from the group consisting of visual features, acoustic features, morphological features, behavioral features, spatial features, temporal features, and group-association features.</x:v>
      </x:c>
      <x:c r="G138" s="26" t="str">
        <x:v>drafted</x:v>
      </x:c>
      <x:c r="H138" s="26" t="str">
        <x:v>prior-art risk; written-description gap; enablement gap; inventorship/ownership issue</x:v>
      </x:c>
      <x:c r="I138" s="28" t="n">
        <x:v>46268</x:v>
      </x:c>
      <x:c r="J138" s="26" t="str">
        <x:v>Focused support/patentability probe; no claim-count ceiling</x:v>
      </x:c>
      <x:c r="K138" s="26" t="str">
        <x:v>[0090]-[0101]; [0124]-[0125]</x:v>
      </x:c>
    </x:row>
    <x:row r="139">
      <x:c r="A139" s="26" t="n">
        <x:v>138</x:v>
      </x:c>
      <x:c r="B139" s="26" t="str">
        <x:v>P-U1</x:v>
      </x:c>
      <x:c r="C139" s="26" t="str">
        <x:v>dependent</x:v>
      </x:c>
      <x:c r="D139" s="26" t="n">
        <x:v>136</x:v>
      </x:c>
      <x:c r="E139" s="26" t="str">
        <x:v>Representation-ready stabilization rule</x:v>
      </x:c>
      <x:c r="F139" s="26" t="str">
        <x:v>The method of claim 136, wherein determining that the population-representation criterion is satisfied comprises determining that no newly activated recurring identity has been added during a selected plurality of recent qualifying observation sessions and that each required active identity record has been re-observed during a plurality of temporally separated qualifying observation sessions.</x:v>
      </x:c>
      <x:c r="G139" s="26" t="str">
        <x:v>drafted</x:v>
      </x:c>
      <x:c r="H139" s="26" t="str">
        <x:v>prior-art risk; written-description gap; enablement gap; inventorship/ownership issue</x:v>
      </x:c>
      <x:c r="I139" s="28" t="n">
        <x:v>46268</x:v>
      </x:c>
      <x:c r="J139" s="26" t="str">
        <x:v>Focused support/patentability probe; no claim-count ceiling</x:v>
      </x:c>
      <x:c r="K139" s="26" t="str">
        <x:v>[0102]-[0106]; [0122]-[0123]; [0127]</x:v>
      </x:c>
    </x:row>
    <x:row r="140">
      <x:c r="A140" s="26" t="n">
        <x:v>139</x:v>
      </x:c>
      <x:c r="B140" s="26" t="str">
        <x:v>P-U1</x:v>
      </x:c>
      <x:c r="C140" s="26" t="str">
        <x:v>dependent</x:v>
      </x:c>
      <x:c r="D140" s="26" t="n">
        <x:v>136</x:v>
      </x:c>
      <x:c r="E140" s="26" t="str">
        <x:v>Sensor coverage / observation opportunity</x:v>
      </x:c>
      <x:c r="F140" s="26" t="str">
        <x:v>The method of claim 136, wherein an observation session qualifies for use in determining stabilization or absence of a previously learned member only when a sensor-coverage condition and a sensor-health condition indicate that the monitored population-control location was sufficiently observable during the observation session.</x:v>
      </x:c>
      <x:c r="G140" s="26" t="str">
        <x:v>drafted</x:v>
      </x:c>
      <x:c r="H140" s="26" t="str">
        <x:v>prior-art risk; written-description gap; enablement gap; inventorship/ownership issue</x:v>
      </x:c>
      <x:c r="I140" s="28" t="n">
        <x:v>46268</x:v>
      </x:c>
      <x:c r="J140" s="26" t="str">
        <x:v>Focused support/patentability probe; no claim-count ceiling</x:v>
      </x:c>
      <x:c r="K140" s="26" t="str">
        <x:v>[0122]-[0123]; [0127]-[0128]</x:v>
      </x:c>
    </x:row>
    <x:row r="141">
      <x:c r="A141" s="26" t="n">
        <x:v>140</x:v>
      </x:c>
      <x:c r="B141" s="26" t="str">
        <x:v>P-U1</x:v>
      </x:c>
      <x:c r="C141" s="26" t="str">
        <x:v>dependent</x:v>
      </x:c>
      <x:c r="D141" s="26" t="n">
        <x:v>136</x:v>
      </x:c>
      <x:c r="E141" s="26" t="str">
        <x:v>Evidence-based active-to-inactive transition</x:v>
      </x:c>
      <x:c r="F141" s="26" t="str">
        <x:v>The method of claim 136, further comprising transitioning an identity record from an active state to an inactive state only after evidence of absence during a plurality of qualifying observation opportunities, evidence of removal or mortality, evidence of a sustained change in association with the local feral pig population, operator confirmation, or a combination thereof.</x:v>
      </x:c>
      <x:c r="G141" s="26" t="str">
        <x:v>drafted</x:v>
      </x:c>
      <x:c r="H141" s="26" t="str">
        <x:v>prior-art risk; written-description gap; enablement gap; inventorship/ownership issue</x:v>
      </x:c>
      <x:c r="I141" s="28" t="n">
        <x:v>46268</x:v>
      </x:c>
      <x:c r="J141" s="26" t="str">
        <x:v>Focused support/patentability probe; no claim-count ceiling</x:v>
      </x:c>
      <x:c r="K141" s="26" t="str">
        <x:v>[0095]-[0101]; [0128]</x:v>
      </x:c>
    </x:row>
    <x:row r="142">
      <x:c r="A142" s="26" t="n">
        <x:v>141</x:v>
      </x:c>
      <x:c r="B142" s="26" t="str">
        <x:v>P-U1</x:v>
      </x:c>
      <x:c r="C142" s="26" t="str">
        <x:v>dependent</x:v>
      </x:c>
      <x:c r="D142" s="26" t="n">
        <x:v>136</x:v>
      </x:c>
      <x:c r="E142" s="26" t="str">
        <x:v>Overlapping-sensor anti-double-count reconciliation</x:v>
      </x:c>
      <x:c r="F142" s="26" t="str">
        <x:v>The method of claim 136, wherein associating the feral-pig observations comprises reconciling detections from overlapping sensors into animal tracks before determining the exact-completeness condition so that observations of a same feral pig by different sensors are not counted as observations of different active identity records.</x:v>
      </x:c>
      <x:c r="G142" s="26" t="str">
        <x:v>drafted</x:v>
      </x:c>
      <x:c r="H142" s="26" t="str">
        <x:v>prior-art risk; written-description gap; enablement gap; inventorship/ownership issue</x:v>
      </x:c>
      <x:c r="I142" s="28" t="n">
        <x:v>46268</x:v>
      </x:c>
      <x:c r="J142" s="26" t="str">
        <x:v>Focused support/patentability probe; no claim-count ceiling</x:v>
      </x:c>
      <x:c r="K142" s="26" t="str">
        <x:v>[0124]-[0125]; [0129]</x:v>
      </x:c>
    </x:row>
    <x:row r="143">
      <x:c r="A143" s="26" t="n">
        <x:v>142</x:v>
      </x:c>
      <x:c r="B143" s="26" t="str">
        <x:v>P-U1</x:v>
      </x:c>
      <x:c r="C143" s="26" t="str">
        <x:v>dependent</x:v>
      </x:c>
      <x:c r="D143" s="26" t="n">
        <x:v>136</x:v>
      </x:c>
      <x:c r="E143" s="26" t="str">
        <x:v>Ambiguous identity association veto</x:v>
      </x:c>
      <x:c r="F143" s="26" t="str">
        <x:v>The method of claim 136, wherein an ambiguous association between a current feral-pig observation and two or more active identity records causes the current feral-pig observation to remain unresolved and causes the population-control treatment to remain inhibited pending additional evidence or operator resolution.</x:v>
      </x:c>
      <x:c r="G143" s="26" t="str">
        <x:v>drafted</x:v>
      </x:c>
      <x:c r="H143" s="26" t="str">
        <x:v>prior-art risk; written-description gap; enablement gap; 112(b); inventorship/ownership issue</x:v>
      </x:c>
      <x:c r="I143" s="28" t="n">
        <x:v>46268</x:v>
      </x:c>
      <x:c r="J143" s="26" t="str">
        <x:v>Focused support/patentability probe; no claim-count ceiling</x:v>
      </x:c>
      <x:c r="K143" s="26" t="str">
        <x:v>[0124]; [0131]</x:v>
      </x:c>
    </x:row>
    <x:row r="144">
      <x:c r="A144" s="26" t="n">
        <x:v>143</x:v>
      </x:c>
      <x:c r="B144" s="26" t="str">
        <x:v>P-U1</x:v>
      </x:c>
      <x:c r="C144" s="26" t="str">
        <x:v>dependent</x:v>
      </x:c>
      <x:c r="D144" s="26" t="n">
        <x:v>136</x:v>
      </x:c>
      <x:c r="E144" s="26" t="str">
        <x:v>Version-bound authorization record</x:v>
      </x:c>
      <x:c r="F144" s="26" t="str">
        <x:v>The method of claim 136, wherein the treatment-authorization state is represented by an authorization record that identifies at least the version of the working population set and further identifies one or more of a population-criterion version, recognition-model version, configuration version, monitored-location identifier, treatment identifier, authorization time, safety state, or operator authorization.</x:v>
      </x:c>
      <x:c r="G144" s="26" t="str">
        <x:v>drafted</x:v>
      </x:c>
      <x:c r="H144" s="26" t="str">
        <x:v>prior-art risk; written-description gap; enablement gap; inventorship/ownership issue</x:v>
      </x:c>
      <x:c r="I144" s="28" t="n">
        <x:v>46268</x:v>
      </x:c>
      <x:c r="J144" s="26" t="str">
        <x:v>Focused support/patentability probe; no claim-count ceiling</x:v>
      </x:c>
      <x:c r="K144" s="26" t="str">
        <x:v>[0126]; [0132]; [0135]</x:v>
      </x:c>
    </x:row>
    <x:row r="145">
      <x:c r="A145" s="26" t="n">
        <x:v>144</x:v>
      </x:c>
      <x:c r="B145" s="26" t="str">
        <x:v>P-U1</x:v>
      </x:c>
      <x:c r="C145" s="26" t="str">
        <x:v>dependent</x:v>
      </x:c>
      <x:c r="D145" s="26" t="n">
        <x:v>136</x:v>
      </x:c>
      <x:c r="E145" s="26" t="str">
        <x:v>Completeness revalidation and fail-safe restriction</x:v>
      </x:c>
      <x:c r="F145" s="26" t="str">
        <x:v>The method of claim 136, further comprising revalidating the exact-completeness condition after generation of the treatment-authorization state and before or during an exposure interval, and returning a delivery assembly to a restricted state when revalidation fails.</x:v>
      </x:c>
      <x:c r="G145" s="26" t="str">
        <x:v>drafted</x:v>
      </x:c>
      <x:c r="H145" s="26" t="str">
        <x:v>prior-art risk; written-description gap; enablement gap; inventorship/ownership issue</x:v>
      </x:c>
      <x:c r="I145" s="28" t="n">
        <x:v>46268</x:v>
      </x:c>
      <x:c r="J145" s="26" t="str">
        <x:v>Focused support/patentability probe; no claim-count ceiling</x:v>
      </x:c>
      <x:c r="K145" s="26" t="str">
        <x:v>[0133]; [0163]-[0170]</x:v>
      </x:c>
    </x:row>
    <x:row r="146">
      <x:c r="A146" s="26" t="n">
        <x:v>145</x:v>
      </x:c>
      <x:c r="B146" s="26" t="str">
        <x:v>P-U1</x:v>
      </x:c>
      <x:c r="C146" s="26" t="str">
        <x:v>dependent</x:v>
      </x:c>
      <x:c r="D146" s="26" t="n">
        <x:v>136</x:v>
      </x:c>
      <x:c r="E146" s="26" t="str">
        <x:v>Completeness-gated feed with general toxicant</x:v>
      </x:c>
      <x:c r="F146" s="26" t="str">
        <x:v>The method of claim 136, wherein the population-control treatment comprises feed containing a generally toxic population-control agent, and wherein the feed is maintained inaccessible before generation of the treatment-authorization state and is selectively made accessible at a monitored trough or feeder only while the treatment-authorization state remains valid.</x:v>
      </x:c>
      <x:c r="G146" s="26" t="str">
        <x:v>drafted</x:v>
      </x:c>
      <x:c r="H146" s="26" t="str">
        <x:v>prior-art risk; regulatory/deployment issue; written-description gap; enablement gap; inventorship/ownership issue</x:v>
      </x:c>
      <x:c r="I146" s="28" t="n">
        <x:v>46268</x:v>
      </x:c>
      <x:c r="J146" s="26" t="str">
        <x:v>Focused support/patentability probe; no claim-count ceiling</x:v>
      </x:c>
      <x:c r="K146" s="26" t="str">
        <x:v>[0132]-[0146]; [0171]-[0178]; [0254]-[0270]; FIGS. 8-10</x:v>
      </x:c>
    </x:row>
  </x:sheetData>
  <x:conditionalFormatting sqref="G2:G21">
    <x:cfRule type="expression" dxfId="0" priority="1">
      <x:formula>G2="final"</x:formula>
    </x:cfRule>
    <x:cfRule type="expression" dxfId="1" priority="2">
      <x:formula>G2="under review"</x:formula>
    </x:cfRule>
  </x:conditionalFormatting>
  <x:dataValidations count="2">
    <x:dataValidation type="list" sqref="C2:C21">
      <x:formula1>"independent,dependent"</x:formula1>
    </x:dataValidation>
    <x:dataValidation type="list" sqref="G2:G21">
      <x:formula1>"drafted,under review,attorney-reviewed,final"</x:formula1>
    </x:dataValidation>
  </x:dataValidations>
  <x:pageMargins left="0.7" right="0.7" top="0.75" bottom="0.75" header="0.3" footer="0.3"/>
  <x:tableParts count="1">
    <x:tablePart xmlns:r="http://schemas.openxmlformats.org/officeDocument/2006/relationships" r:id="R6276f855c2ce4236"/>
  </x:tableParts>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38" hidden="0" customWidth="1"/>
    <x:col min="4" max="4" width="48" hidden="0" customWidth="1"/>
    <x:col min="5" max="5" width="18" hidden="0" customWidth="1"/>
    <x:col min="6" max="6" width="14" hidden="0" customWidth="1"/>
    <x:col min="7" max="7" width="12" hidden="0" customWidth="1"/>
    <x:col min="8" max="8" width="12" hidden="0" customWidth="1"/>
    <x:col min="9" max="9" width="20" hidden="0" customWidth="1"/>
    <x:col min="10" max="10" width="40" hidden="0" customWidth="1"/>
    <x:col min="11" max="11" width="14" hidden="0" customWidth="1"/>
  </x:cols>
  <x:sheetData>
    <x:row r="1">
      <x:c r="A1" s="20" t="str">
        <x:v>ID</x:v>
      </x:c>
      <x:c r="B1" s="20" t="str">
        <x:v>Workstream</x:v>
      </x:c>
      <x:c r="C1" s="20" t="str">
        <x:v>Task</x:v>
      </x:c>
      <x:c r="D1" s="20" t="str">
        <x:v>Deliverable / acceptance criterion</x:v>
      </x:c>
      <x:c r="E1" s="20" t="str">
        <x:v>Owner</x:v>
      </x:c>
      <x:c r="F1" s="20" t="str">
        <x:v>Status</x:v>
      </x:c>
      <x:c r="G1" s="20" t="str">
        <x:v>Priority</x:v>
      </x:c>
      <x:c r="H1" s="20" t="str">
        <x:v>Horizon</x:v>
      </x:c>
      <x:c r="I1" s="20" t="str">
        <x:v>Dependency</x:v>
      </x:c>
      <x:c r="J1" s="20" t="str">
        <x:v>Risk / note</x:v>
      </x:c>
      <x:c r="K1" s="20" t="str">
        <x:v>Last updated</x:v>
      </x:c>
    </x:row>
    <x:row r="2">
      <x:c r="A2" s="26" t="str">
        <x:v>PAT-001</x:v>
      </x:c>
      <x:c r="B2" s="26" t="str">
        <x:v>Patent</x:v>
      </x:c>
      <x:c r="C2" s="26" t="str">
        <x:v>Create claim inventory tracker</x:v>
      </x:c>
      <x:c r="D2" s="26" t="str">
        <x:v>Tracker exists and is single source of truth</x:v>
      </x:c>
      <x:c r="E2" s="26" t="str">
        <x:v>Robert/AI</x:v>
      </x:c>
      <x:c r="F2" s="26" t="str">
        <x:v>Complete</x:v>
      </x:c>
      <x:c r="G2" s="26" t="str">
        <x:v>Critical</x:v>
      </x:c>
      <x:c r="H2" s="26" t="str">
        <x:v>1-week</x:v>
      </x:c>
      <x:c r="I2" s="26" t="str"/>
      <x:c r="J2" s="26" t="str">
        <x:v>Mandatory before further claim drafting</x:v>
      </x:c>
      <x:c r="K2" s="28" t="n">
        <x:v>46268</x:v>
      </x:c>
    </x:row>
    <x:row r="3">
      <x:c r="A3" s="26" t="str">
        <x:v>PAT-002</x:v>
      </x:c>
      <x:c r="B3" s="26" t="str">
        <x:v>Patent</x:v>
      </x:c>
      <x:c r="C3" s="26" t="str">
        <x:v>Draft enabling provisional specification skeleton</x:v>
      </x:c>
      <x:c r="D3" s="26" t="str">
        <x:v>Sections for field/background/summary/definitions/architecture/recognition/population ID/lethal delivery/safety/variants/examples/data flows/hardware-software/deployment/failure cases</x:v>
      </x:c>
      <x:c r="E3" s="26" t="str">
        <x:v>Robert/AI</x:v>
      </x:c>
      <x:c r="F3" s="26" t="str">
        <x:v>In Progress</x:v>
      </x:c>
      <x:c r="G3" s="26" t="str">
        <x:v>Critical</x:v>
      </x:c>
      <x:c r="H3" s="26" t="str">
        <x:v>1-week</x:v>
      </x:c>
      <x:c r="I3" s="26" t="str">
        <x:v>PAT-001</x:v>
      </x:c>
      <x:c r="J3" s="26" t="str">
        <x:v>Do not let claim perfection delay an enabling filing</x:v>
      </x:c>
      <x:c r="K3" s="28" t="n">
        <x:v>46268</x:v>
      </x:c>
    </x:row>
    <x:row r="4">
      <x:c r="A4" s="26" t="str">
        <x:v>PAT-003</x:v>
      </x:c>
      <x:c r="B4" s="26" t="str">
        <x:v>Patent</x:v>
      </x:c>
      <x:c r="C4" s="26" t="str">
        <x:v>Elicit missing technical details</x:v>
      </x:c>
      <x:c r="D4" s="26" t="str">
        <x:v>Written answers or diagrams sufficient to support recognition models, thresholds, group membership logic, actuation, safety interlocks, failure modes</x:v>
      </x:c>
      <x:c r="E4" s="26" t="str">
        <x:v>Robert</x:v>
      </x:c>
      <x:c r="F4" s="26" t="str">
        <x:v>Not Started</x:v>
      </x:c>
      <x:c r="G4" s="26" t="str">
        <x:v>Critical</x:v>
      </x:c>
      <x:c r="H4" s="26" t="str">
        <x:v>1-week</x:v>
      </x:c>
      <x:c r="I4" s="26" t="str">
        <x:v>PAT-002</x:v>
      </x:c>
      <x:c r="J4" s="26" t="str">
        <x:v>Blocking enablement risk</x:v>
      </x:c>
      <x:c r="K4" s="28" t="n">
        <x:v>46268</x:v>
      </x:c>
    </x:row>
    <x:row r="5">
      <x:c r="A5" s="26" t="str">
        <x:v>PAT-004</x:v>
      </x:c>
      <x:c r="B5" s="26" t="str">
        <x:v>Patent</x:v>
      </x:c>
      <x:c r="C5" s="26" t="str">
        <x:v>Draft Set 1 mid-scope independent claim</x:v>
      </x:c>
      <x:c r="D5" s="26" t="str">
        <x:v>One independent claim bridging generic pest-control and narrow feral-pig embodiment; logged in tracker</x:v>
      </x:c>
      <x:c r="E5" s="26" t="str">
        <x:v>Robert/AI</x:v>
      </x:c>
      <x:c r="F5" s="26" t="str">
        <x:v>Superseded</x:v>
      </x:c>
      <x:c r="G5" s="26" t="str">
        <x:v>High</x:v>
      </x:c>
      <x:c r="H5" s="26" t="str">
        <x:v>1-week</x:v>
      </x:c>
      <x:c r="I5" s="26" t="str">
        <x:v>PAT-003</x:v>
      </x:c>
      <x:c r="J5" s="26" t="str">
        <x:v>Superseded by unrestricted 135+ claim universe; no mid-scope Set-1 gate remains.</x:v>
      </x:c>
      <x:c r="K5" s="28" t="n">
        <x:v>46268</x:v>
      </x:c>
    </x:row>
    <x:row r="6">
      <x:c r="A6" s="26" t="str">
        <x:v>PAT-005</x:v>
      </x:c>
      <x:c r="B6" s="26" t="str">
        <x:v>Patent</x:v>
      </x:c>
      <x:c r="C6" s="26" t="str">
        <x:v>Draft 17 dependent claims</x:v>
      </x:c>
      <x:c r="D6" s="26" t="str">
        <x:v>Exactly 17 dependent claims with valid dependency tree and tracker entries</x:v>
      </x:c>
      <x:c r="E6" s="26" t="str">
        <x:v>Robert/AI</x:v>
      </x:c>
      <x:c r="F6" s="26" t="str">
        <x:v>Superseded</x:v>
      </x:c>
      <x:c r="G6" s="26" t="str">
        <x:v>High</x:v>
      </x:c>
      <x:c r="H6" s="26" t="str">
        <x:v>1-week</x:v>
      </x:c>
      <x:c r="I6" s="26" t="str">
        <x:v>PAT-004</x:v>
      </x:c>
      <x:c r="J6" s="26" t="str">
        <x:v>Superseded by unrestricted claim-universe strategy; no exactly-17-dependent-claim requirement remains.</x:v>
      </x:c>
      <x:c r="K6" s="28" t="n">
        <x:v>46268</x:v>
      </x:c>
    </x:row>
    <x:row r="7">
      <x:c r="A7" s="26" t="str">
        <x:v>PAT-006</x:v>
      </x:c>
      <x:c r="B7" s="26" t="str">
        <x:v>Patent</x:v>
      </x:c>
      <x:c r="C7" s="26" t="str">
        <x:v>Resolve 'lethal means' 112(f) strategy</x:v>
      </x:c>
      <x:c r="D7" s="26" t="str">
        <x:v>Specification deliberately supports MPF treatment or claims recite concrete acts/materials/structures</x:v>
      </x:c>
      <x:c r="E7" s="26" t="str">
        <x:v>Robert/Patent counsel</x:v>
      </x:c>
      <x:c r="F7" s="26" t="str">
        <x:v>Not Started</x:v>
      </x:c>
      <x:c r="G7" s="26" t="str">
        <x:v>Critical</x:v>
      </x:c>
      <x:c r="H7" s="26" t="str">
        <x:v>1-week</x:v>
      </x:c>
      <x:c r="I7" s="26" t="str">
        <x:v>PAT-002</x:v>
      </x:c>
      <x:c r="J7" s="26" t="str">
        <x:v>Known 112(f)/112(b) risk</x:v>
      </x:c>
      <x:c r="K7" s="28" t="n">
        <x:v>46268</x:v>
      </x:c>
    </x:row>
    <x:row r="8">
      <x:c r="A8" s="26" t="str">
        <x:v>PAT-007</x:v>
      </x:c>
      <x:c r="B8" s="26" t="str">
        <x:v>Patent</x:v>
      </x:c>
      <x:c r="C8" s="26" t="str">
        <x:v>Tighten Claim 20 selective-delivery semantics</x:v>
      </x:c>
      <x:c r="D8" s="26" t="str">
        <x:v>Differentiate nonselective toxicity from selective access/timing/delivery; update tracker</x:v>
      </x:c>
      <x:c r="E8" s="26" t="str">
        <x:v>Robert/AI</x:v>
      </x:c>
      <x:c r="F8" s="26" t="str">
        <x:v>Superseded</x:v>
      </x:c>
      <x:c r="G8" s="26" t="str">
        <x:v>Critical</x:v>
      </x:c>
      <x:c r="H8" s="26" t="str">
        <x:v>1-week</x:v>
      </x:c>
      <x:c r="I8" s="26" t="str">
        <x:v>PAT-003</x:v>
      </x:c>
      <x:c r="J8" s="26" t="str">
        <x:v>Superseded because current Claim 20 is a dependent feed/population-control claim; former Claim-20 wording is no longer active.</x:v>
      </x:c>
      <x:c r="K8" s="28" t="n">
        <x:v>46268</x:v>
      </x:c>
    </x:row>
    <x:row r="9">
      <x:c r="A9" s="26" t="str">
        <x:v>PAT-008</x:v>
      </x:c>
      <x:c r="B9" s="26" t="str">
        <x:v>Patent</x:v>
      </x:c>
      <x:c r="C9" s="26" t="str">
        <x:v>Document 'all members present' implementation</x:v>
      </x:c>
      <x:c r="D9" s="26" t="str">
        <x:v>Recognition, individual/group ID, confidence thresholds, sampling windows, exclusion criteria, false positive/negative handling</x:v>
      </x:c>
      <x:c r="E9" s="26" t="str">
        <x:v>Robert</x:v>
      </x:c>
      <x:c r="F9" s="26" t="str">
        <x:v>Superseded</x:v>
      </x:c>
      <x:c r="G9" s="26" t="str">
        <x:v>Critical</x:v>
      </x:c>
      <x:c r="H9" s="26" t="str">
        <x:v>1-week</x:v>
      </x:c>
      <x:c r="I9" s="26" t="str">
        <x:v>PAT-003</x:v>
      </x:c>
      <x:c r="J9" s="26" t="str">
        <x:v>Subsumed by PAT-032 and current population-completeness support work.</x:v>
      </x:c>
      <x:c r="K9" s="28" t="n">
        <x:v>46268</x:v>
      </x:c>
    </x:row>
    <x:row r="10">
      <x:c r="A10" s="26" t="str">
        <x:v>PAT-009</x:v>
      </x:c>
      <x:c r="B10" s="26" t="str">
        <x:v>Prior Art</x:v>
      </x:c>
      <x:c r="C10" s="26" t="str">
        <x:v>Trace transcript references to primary sources</x:v>
      </x:c>
      <x:c r="D10" s="26" t="str">
        <x:v>Identify LSU feeder work, Kaput/warfarin documents, sounder trapping systems, source video/news/publications</x:v>
      </x:c>
      <x:c r="E10" s="26" t="str">
        <x:v>AI/Robert</x:v>
      </x:c>
      <x:c r="F10" s="26" t="str">
        <x:v>In Progress</x:v>
      </x:c>
      <x:c r="G10" s="26" t="str">
        <x:v>Critical</x:v>
      </x:c>
      <x:c r="H10" s="26" t="str">
        <x:v>1-week</x:v>
      </x:c>
      <x:c r="I10" s="26" t="str"/>
      <x:c r="J10" s="26" t="str">
        <x:v>Transcript is lead source, not prior-art proof</x:v>
      </x:c>
      <x:c r="K10" s="28" t="n">
        <x:v>46268</x:v>
      </x:c>
    </x:row>
    <x:row r="11">
      <x:c r="A11" s="26" t="str">
        <x:v>PAT-010</x:v>
      </x:c>
      <x:c r="B11" s="26" t="str">
        <x:v>Prior Art</x:v>
      </x:c>
      <x:c r="C11" s="26" t="str">
        <x:v>Run preliminary AI prior-art triage</x:v>
      </x:c>
      <x:c r="D11" s="26" t="str">
        <x:v>Search patents/nonpatent literature for audio/video recognition + selective lethal delivery + sounder-completeness logic</x:v>
      </x:c>
      <x:c r="E11" s="26" t="str">
        <x:v>AI</x:v>
      </x:c>
      <x:c r="F11" s="26" t="str">
        <x:v>Complete</x:v>
      </x:c>
      <x:c r="G11" s="26" t="str">
        <x:v>High</x:v>
      </x:c>
      <x:c r="H11" s="26" t="str">
        <x:v>1-week</x:v>
      </x:c>
      <x:c r="I11" s="26" t="str">
        <x:v>PAT-009</x:v>
      </x:c>
      <x:c r="J11" s="26" t="str">
        <x:v>Triage only; later USPTO/PPS + Google Patents/pro search</x:v>
      </x:c>
      <x:c r="K11" s="28" t="n">
        <x:v>46268</x:v>
      </x:c>
    </x:row>
    <x:row r="12">
      <x:c r="A12" s="26" t="str">
        <x:v>PAT-011</x:v>
      </x:c>
      <x:c r="B12" s="26" t="str">
        <x:v>Prior Art</x:v>
      </x:c>
      <x:c r="C12" s="26" t="str">
        <x:v>Run formal patent search</x:v>
      </x:c>
      <x:c r="D12" s="26" t="str">
        <x:v>USPTO Patent Public Search + Google Patents + CPC/keyword/citation searching; log search strings/results</x:v>
      </x:c>
      <x:c r="E12" s="26" t="str">
        <x:v>Robert/Patent searcher</x:v>
      </x:c>
      <x:c r="F12" s="26" t="str">
        <x:v>Not Started</x:v>
      </x:c>
      <x:c r="G12" s="26" t="str">
        <x:v>Critical</x:v>
      </x:c>
      <x:c r="H12" s="26" t="str">
        <x:v>1-month</x:v>
      </x:c>
      <x:c r="I12" s="26" t="str">
        <x:v>PAT-010</x:v>
      </x:c>
      <x:c r="J12" s="26" t="str">
        <x:v>Required before nonprovisional strategy</x:v>
      </x:c>
      <x:c r="K12" s="28" t="n">
        <x:v>46268</x:v>
      </x:c>
    </x:row>
    <x:row r="13">
      <x:c r="A13" s="26" t="str">
        <x:v>PAT-012</x:v>
      </x:c>
      <x:c r="B13" s="26" t="str">
        <x:v>Patent</x:v>
      </x:c>
      <x:c r="C13" s="26" t="str">
        <x:v>Attorney review pass</x:v>
      </x:c>
      <x:c r="D13" s="26" t="str">
        <x:v>Licensed patent attorney reviews provisional and claim-support map</x:v>
      </x:c>
      <x:c r="E13" s="26" t="str">
        <x:v>Patent counsel</x:v>
      </x:c>
      <x:c r="F13" s="26" t="str">
        <x:v>Not Started</x:v>
      </x:c>
      <x:c r="G13" s="26" t="str">
        <x:v>Critical</x:v>
      </x:c>
      <x:c r="H13" s="26" t="str">
        <x:v>1-week</x:v>
      </x:c>
      <x:c r="I13" s="26" t="str">
        <x:v>PAT-002,PAT-003</x:v>
      </x:c>
      <x:c r="J13" s="26" t="str">
        <x:v>No filing/submission before review</x:v>
      </x:c>
      <x:c r="K13" s="28" t="n">
        <x:v>46268</x:v>
      </x:c>
    </x:row>
    <x:row r="14">
      <x:c r="A14" s="26" t="str">
        <x:v>PAT-013</x:v>
      </x:c>
      <x:c r="B14" s="26" t="str">
        <x:v>Patent</x:v>
      </x:c>
      <x:c r="C14" s="26" t="str">
        <x:v>File provisional when enabling</x:v>
      </x:c>
      <x:c r="D14" s="26" t="str">
        <x:v>File when the §112(a) disclosure and necessary drawings are sufficiently enabling/supportive, inventorship is checked, disclosure controls are satisfied, and licensed patent counsel has reviewed the filing package; formal claims are optional.</x:v>
      </x:c>
      <x:c r="E14" s="26" t="str">
        <x:v>Robert/Patent counsel</x:v>
      </x:c>
      <x:c r="F14" s="26" t="str">
        <x:v>Not Started</x:v>
      </x:c>
      <x:c r="G14" s="26" t="str">
        <x:v>Critical</x:v>
      </x:c>
      <x:c r="H14" s="26" t="str">
        <x:v>1-week</x:v>
      </x:c>
      <x:c r="I14" s="26" t="str">
        <x:v>PAT-012</x:v>
      </x:c>
      <x:c r="J14" s="26" t="str">
        <x:v>Provisional filing is gated by disclosure quality, not claim count or claim perfection.</x:v>
      </x:c>
      <x:c r="K14" s="28" t="n">
        <x:v>46268</x:v>
      </x:c>
    </x:row>
    <x:row r="15">
      <x:c r="A15" s="26" t="str">
        <x:v>MPEP-001</x:v>
      </x:c>
      <x:c r="B15" s="26" t="str">
        <x:v>Legal Research</x:v>
      </x:c>
      <x:c r="C15" s="26" t="str">
        <x:v>Index current MPEP + post-cutoff updates</x:v>
      </x:c>
      <x:c r="D15" s="26" t="str">
        <x:v>Current MPEP revision, consolidated laws/rules, Subsequent Publications, superseding memoranda indexed</x:v>
      </x:c>
      <x:c r="E15" s="26" t="str">
        <x:v>AI</x:v>
      </x:c>
      <x:c r="F15" s="26" t="str">
        <x:v>Complete</x:v>
      </x:c>
      <x:c r="G15" s="26" t="str">
        <x:v>Critical</x:v>
      </x:c>
      <x:c r="H15" s="26" t="str">
        <x:v>1-week</x:v>
      </x:c>
      <x:c r="I15" s="26" t="str"/>
      <x:c r="J15" s="26" t="str">
        <x:v>Current MPEP only current through 2024-01-31</x:v>
      </x:c>
      <x:c r="K15" s="28" t="n">
        <x:v>46268</x:v>
      </x:c>
    </x:row>
    <x:row r="16">
      <x:c r="A16" s="26" t="str">
        <x:v>MPEP-002</x:v>
      </x:c>
      <x:c r="B16" s="26" t="str">
        <x:v>Legal Research</x:v>
      </x:c>
      <x:c r="C16" s="26" t="str">
        <x:v>Build MPEP PDF authority pack</x:v>
      </x:c>
      <x:c r="D16" s="26" t="str">
        <x:v>Downloadable manifest/index plus official PDF links; local bundle where source hosting permits</x:v>
      </x:c>
      <x:c r="E16" s="26" t="str">
        <x:v>AI</x:v>
      </x:c>
      <x:c r="F16" s="26" t="str">
        <x:v>Complete</x:v>
      </x:c>
      <x:c r="G16" s="26" t="str">
        <x:v>High</x:v>
      </x:c>
      <x:c r="H16" s="26" t="str">
        <x:v>1-week</x:v>
      </x:c>
      <x:c r="I16" s="26" t="str">
        <x:v>MPEP-001</x:v>
      </x:c>
      <x:c r="J16" s="26" t="str">
        <x:v>USPTO host currently blocks direct sandbox mirroring; hyperlink pack used as audit trail</x:v>
      </x:c>
      <x:c r="K16" s="28" t="n">
        <x:v>46268</x:v>
      </x:c>
    </x:row>
    <x:row r="17">
      <x:c r="A17" s="26" t="str">
        <x:v>MPEP-003</x:v>
      </x:c>
      <x:c r="B17" s="26" t="str">
        <x:v>Legal Research</x:v>
      </x:c>
      <x:c r="C17" s="26" t="str">
        <x:v>Add post-July-20-2026 practice changes</x:v>
      </x:c>
      <x:c r="D17" s="26" t="str">
        <x:v>Include Aug. 3, 2026 DOCX filing process notice; screen later notices for MPEP impact</x:v>
      </x:c>
      <x:c r="E17" s="26" t="str">
        <x:v>AI</x:v>
      </x:c>
      <x:c r="F17" s="26" t="str">
        <x:v>Complete</x:v>
      </x:c>
      <x:c r="G17" s="26" t="str">
        <x:v>High</x:v>
      </x:c>
      <x:c r="H17" s="26" t="str">
        <x:v>1-week</x:v>
      </x:c>
      <x:c r="I17" s="26" t="str">
        <x:v>MPEP-001</x:v>
      </x:c>
      <x:c r="J17" s="26" t="str">
        <x:v>Official Subsequent Publications PDF is current only through 2026-07-20</x:v>
      </x:c>
      <x:c r="K17" s="28" t="n">
        <x:v>46268</x:v>
      </x:c>
    </x:row>
    <x:row r="18">
      <x:c r="A18" s="26" t="str">
        <x:v>BUS-001</x:v>
      </x:c>
      <x:c r="B18" s="26" t="str">
        <x:v>Business</x:v>
      </x:c>
      <x:c r="C18" s="26" t="str">
        <x:v>Define customer/problem segments</x:v>
      </x:c>
      <x:c r="D18" s="26" t="str">
        <x:v>Rank agencies, landowners, farms, operators, airports, conservation stakeholders by pain and buying process</x:v>
      </x:c>
      <x:c r="E18" s="26" t="str">
        <x:v>Robert/AI</x:v>
      </x:c>
      <x:c r="F18" s="26" t="str">
        <x:v>Not Started</x:v>
      </x:c>
      <x:c r="G18" s="26" t="str">
        <x:v>High</x:v>
      </x:c>
      <x:c r="H18" s="26" t="str">
        <x:v>1-month</x:v>
      </x:c>
      <x:c r="I18" s="26" t="str"/>
      <x:c r="J18" s="26" t="str">
        <x:v>Separate patentability from product-market fit</x:v>
      </x:c>
      <x:c r="K18" s="28" t="n">
        <x:v>46268</x:v>
      </x:c>
    </x:row>
    <x:row r="19">
      <x:c r="A19" s="26" t="str">
        <x:v>BUS-002</x:v>
      </x:c>
      <x:c r="B19" s="26" t="str">
        <x:v>Business</x:v>
      </x:c>
      <x:c r="C19" s="26" t="str">
        <x:v>Define product/service architectures</x:v>
      </x:c>
      <x:c r="D19" s="26" t="str">
        <x:v>Hardware, SaaS/recognition, feeder/actuator, managed control service, data/licensing variants</x:v>
      </x:c>
      <x:c r="E19" s="26" t="str">
        <x:v>Robert/AI</x:v>
      </x:c>
      <x:c r="F19" s="26" t="str">
        <x:v>Not Started</x:v>
      </x:c>
      <x:c r="G19" s="26" t="str">
        <x:v>High</x:v>
      </x:c>
      <x:c r="H19" s="26" t="str">
        <x:v>1-month</x:v>
      </x:c>
      <x:c r="I19" s="26" t="str">
        <x:v>PAT-003</x:v>
      </x:c>
      <x:c r="J19" s="26" t="str">
        <x:v>Avoid premature technical disclosure</x:v>
      </x:c>
      <x:c r="K19" s="28" t="n">
        <x:v>46268</x:v>
      </x:c>
    </x:row>
    <x:row r="20">
      <x:c r="A20" s="26" t="str">
        <x:v>BUS-003</x:v>
      </x:c>
      <x:c r="B20" s="26" t="str">
        <x:v>Business</x:v>
      </x:c>
      <x:c r="C20" s="26" t="str">
        <x:v>Build regulatory map</x:v>
      </x:c>
      <x:c r="D20" s="26" t="str">
        <x:v>EPA pesticide/FIFRA; state pesticide/wildlife rules; USDA/APHIS; carcass/environmental controls; firearms/aircraft if applicable</x:v>
      </x:c>
      <x:c r="E20" s="26" t="str">
        <x:v>AI/Regulatory counsel</x:v>
      </x:c>
      <x:c r="F20" s="26" t="str">
        <x:v>Not Started</x:v>
      </x:c>
      <x:c r="G20" s="26" t="str">
        <x:v>Critical</x:v>
      </x:c>
      <x:c r="H20" s="26" t="str">
        <x:v>1-month</x:v>
      </x:c>
      <x:c r="I20" s="26" t="str"/>
      <x:c r="J20" s="26" t="str">
        <x:v>Deployment legality independent of patentability</x:v>
      </x:c>
      <x:c r="K20" s="28" t="n">
        <x:v>46268</x:v>
      </x:c>
    </x:row>
    <x:row r="21">
      <x:c r="A21" s="26" t="str">
        <x:v>ORG-001</x:v>
      </x:c>
      <x:c r="B21" s="26" t="str">
        <x:v>Company/IP</x:v>
      </x:c>
      <x:c r="C21" s="26" t="str">
        <x:v>Settle inventorship/conception record</x:v>
      </x:c>
      <x:c r="D21" s="26" t="str">
        <x:v>Signed invention/conception chronology identifying contribution by claim concept</x:v>
      </x:c>
      <x:c r="E21" s="26" t="str">
        <x:v>Robert/Co-inventors/Counsel</x:v>
      </x:c>
      <x:c r="F21" s="26" t="str">
        <x:v>Not Started</x:v>
      </x:c>
      <x:c r="G21" s="26" t="str">
        <x:v>Critical</x:v>
      </x:c>
      <x:c r="H21" s="26" t="str">
        <x:v>1-month</x:v>
      </x:c>
      <x:c r="I21" s="26" t="str"/>
      <x:c r="J21" s="26" t="str">
        <x:v>Complete before equity/IP assignment</x:v>
      </x:c>
      <x:c r="K21" s="28" t="n">
        <x:v>46268</x:v>
      </x:c>
    </x:row>
    <x:row r="22">
      <x:c r="A22" s="26" t="str">
        <x:v>ORG-002</x:v>
      </x:c>
      <x:c r="B22" s="26" t="str">
        <x:v>Company/IP</x:v>
      </x:c>
      <x:c r="C22" s="26" t="str">
        <x:v>Form entity and IP-assignment plan</x:v>
      </x:c>
      <x:c r="D22" s="26" t="str">
        <x:v>Entity structure and assignment instruments selected</x:v>
      </x:c>
      <x:c r="E22" s="26" t="str">
        <x:v>Robert/Corporate counsel</x:v>
      </x:c>
      <x:c r="F22" s="26" t="str">
        <x:v>Not Started</x:v>
      </x:c>
      <x:c r="G22" s="26" t="str">
        <x:v>High</x:v>
      </x:c>
      <x:c r="H22" s="26" t="str">
        <x:v>1-month</x:v>
      </x:c>
      <x:c r="I22" s="26" t="str">
        <x:v>ORG-001</x:v>
      </x:c>
      <x:c r="J22" s="26" t="str">
        <x:v>Budget/tax/legal review required</x:v>
      </x:c>
      <x:c r="K22" s="28" t="n">
        <x:v>46268</x:v>
      </x:c>
    </x:row>
    <x:row r="23">
      <x:c r="A23" s="26" t="str">
        <x:v>FUND-001</x:v>
      </x:c>
      <x:c r="B23" s="26" t="str">
        <x:v>Funding</x:v>
      </x:c>
      <x:c r="C23" s="26" t="str">
        <x:v>Funding opportunity sweep</x:v>
      </x:c>
      <x:c r="D23" s="26" t="str">
        <x:v>SBIR/STTR + federal/state + Mid-Atlantic/Midwest opportunities with deadlines/fit</x:v>
      </x:c>
      <x:c r="E23" s="26" t="str">
        <x:v>AI</x:v>
      </x:c>
      <x:c r="F23" s="26" t="str">
        <x:v>Not Started</x:v>
      </x:c>
      <x:c r="G23" s="26" t="str">
        <x:v>High</x:v>
      </x:c>
      <x:c r="H23" s="26" t="str">
        <x:v>1-month</x:v>
      </x:c>
      <x:c r="I23" s="26" t="str"/>
      <x:c r="J23" s="26" t="str">
        <x:v>Use actual current deadlines</x:v>
      </x:c>
      <x:c r="K23" s="28" t="n">
        <x:v>46268</x:v>
      </x:c>
    </x:row>
    <x:row r="24">
      <x:c r="A24" s="26" t="str">
        <x:v>FUND-002</x:v>
      </x:c>
      <x:c r="B24" s="26" t="str">
        <x:v>Funding</x:v>
      </x:c>
      <x:c r="C24" s="26" t="str">
        <x:v>Select strongest grant cycle</x:v>
      </x:c>
      <x:c r="D24" s="26" t="str">
        <x:v>Decision memo with fit, deadline, eligibility, effort, and IP terms</x:v>
      </x:c>
      <x:c r="E24" s="26" t="str">
        <x:v>Robert/AI</x:v>
      </x:c>
      <x:c r="F24" s="26" t="str">
        <x:v>Not Started</x:v>
      </x:c>
      <x:c r="G24" s="26" t="str">
        <x:v>High</x:v>
      </x:c>
      <x:c r="H24" s="26" t="str">
        <x:v>1-month</x:v>
      </x:c>
      <x:c r="I24" s="26" t="str">
        <x:v>FUND-001</x:v>
      </x:c>
      <x:c r="J24" s="26" t="str">
        <x:v>Begin application after selection</x:v>
      </x:c>
      <x:c r="K24" s="28" t="n">
        <x:v>46268</x:v>
      </x:c>
    </x:row>
    <x:row r="25">
      <x:c r="A25" s="26" t="str">
        <x:v>PART-001</x:v>
      </x:c>
      <x:c r="B25" s="26" t="str">
        <x:v>Partnerships</x:v>
      </x:c>
      <x:c r="C25" s="26" t="str">
        <x:v>Build experimental-use target list</x:v>
      </x:c>
      <x:c r="D25" s="26" t="str">
        <x:v>USDA/APHIS, state agencies, universities, landowners, farms/operators; Mid-Atlantic/Midwest first</x:v>
      </x:c>
      <x:c r="E25" s="26" t="str">
        <x:v>AI</x:v>
      </x:c>
      <x:c r="F25" s="26" t="str">
        <x:v>Not Started</x:v>
      </x:c>
      <x:c r="G25" s="26" t="str">
        <x:v>High</x:v>
      </x:c>
      <x:c r="H25" s="26" t="str">
        <x:v>1-month</x:v>
      </x:c>
      <x:c r="I25" s="26" t="str"/>
      <x:c r="J25" s="26" t="str">
        <x:v>Pre-filing outreach = target identification only</x:v>
      </x:c>
      <x:c r="K25" s="28" t="n">
        <x:v>46268</x:v>
      </x:c>
    </x:row>
    <x:row r="26">
      <x:c r="A26" s="26" t="str">
        <x:v>PART-002</x:v>
      </x:c>
      <x:c r="B26" s="26" t="str">
        <x:v>Partnerships</x:v>
      </x:c>
      <x:c r="C26" s="26" t="str">
        <x:v>Prepare NDA-first outreach package</x:v>
      </x:c>
      <x:c r="D26" s="26" t="str">
        <x:v>Non-confidential teaser + NDA + post-filing technical deck outline</x:v>
      </x:c>
      <x:c r="E26" s="26" t="str">
        <x:v>Robert/Counsel</x:v>
      </x:c>
      <x:c r="F26" s="26" t="str">
        <x:v>Not Started</x:v>
      </x:c>
      <x:c r="G26" s="26" t="str">
        <x:v>Critical</x:v>
      </x:c>
      <x:c r="H26" s="26" t="str">
        <x:v>1-month</x:v>
      </x:c>
      <x:c r="I26" s="26" t="str">
        <x:v>PAT-013</x:v>
      </x:c>
      <x:c r="J26" s="26" t="str">
        <x:v>No substantive disclosure pre-filing without NDA</x:v>
      </x:c>
      <x:c r="K26" s="28" t="n">
        <x:v>46268</x:v>
      </x:c>
    </x:row>
    <x:row r="27">
      <x:c r="A27" s="26" t="str">
        <x:v>GOV-001</x:v>
      </x:c>
      <x:c r="B27" s="26" t="str">
        <x:v>Governance</x:v>
      </x:c>
      <x:c r="C27" s="26" t="str">
        <x:v>Check AI data-retention/training settings</x:v>
      </x:c>
      <x:c r="D27" s="26" t="str">
        <x:v>Document settings and approved disclosure workflow</x:v>
      </x:c>
      <x:c r="E27" s="26" t="str">
        <x:v>Robert</x:v>
      </x:c>
      <x:c r="F27" s="26" t="str">
        <x:v>Not Started</x:v>
      </x:c>
      <x:c r="G27" s="26" t="str">
        <x:v>Critical</x:v>
      </x:c>
      <x:c r="H27" s="26" t="str">
        <x:v>1-week</x:v>
      </x:c>
      <x:c r="I27" s="26" t="str"/>
      <x:c r="J27" s="26" t="str">
        <x:v>Public/confidentiality risk</x:v>
      </x:c>
      <x:c r="K27" s="28" t="n">
        <x:v>46268</x:v>
      </x:c>
    </x:row>
    <x:row r="28">
      <x:c r="A28" s="26" t="str">
        <x:v>GOV-002</x:v>
      </x:c>
      <x:c r="B28" s="26" t="str">
        <x:v>Governance</x:v>
      </x:c>
      <x:c r="C28" s="26" t="str">
        <x:v>Establish repository structure</x:v>
      </x:c>
      <x:c r="D28" s="26" t="str">
        <x:v>/src /tests /docs /ci plus /docs/attic; Git LFS policy for large binaries</x:v>
      </x:c>
      <x:c r="E28" s="26" t="str">
        <x:v>Robert/AI</x:v>
      </x:c>
      <x:c r="F28" s="26" t="str">
        <x:v>Not Started</x:v>
      </x:c>
      <x:c r="G28" s="26" t="str">
        <x:v>Medium</x:v>
      </x:c>
      <x:c r="H28" s="26" t="str">
        <x:v>1-week</x:v>
      </x:c>
      <x:c r="I28" s="26" t="str"/>
      <x:c r="J28" s="26" t="str">
        <x:v>Preserve audit trail and versions</x:v>
      </x:c>
      <x:c r="K28" s="28" t="n">
        <x:v>46268</x:v>
      </x:c>
    </x:row>
    <x:row r="31">
      <x:c r="A31" s="26" t="str">
        <x:v>PAT-014</x:v>
      </x:c>
      <x:c r="B31" s="26" t="str">
        <x:v>Prior Art</x:v>
      </x:c>
      <x:c r="C31" s="26" t="str">
        <x:v>Claim-chart three blocking patent references</x:v>
      </x:c>
      <x:c r="D31" s="26" t="str">
        <x:v>Element-by-element charts for Claim 1 and Claim 20 against US10368539B2, US20210315186A1, and US20140261201A1; identify missing/distinguishing limitations and combination risk</x:v>
      </x:c>
      <x:c r="E31" s="26" t="str">
        <x:v>AI/Robert/Patent counsel</x:v>
      </x:c>
      <x:c r="F31" s="26" t="str">
        <x:v>Not Started</x:v>
      </x:c>
      <x:c r="G31" s="26" t="str">
        <x:v>Critical</x:v>
      </x:c>
      <x:c r="H31" s="26" t="str">
        <x:v>1-week</x:v>
      </x:c>
      <x:c r="I31" s="26" t="str">
        <x:v>PAT-010</x:v>
      </x:c>
      <x:c r="J31" s="26" t="str">
        <x:v>Complete before materially refining the mid-scope independent claim</x:v>
      </x:c>
    </x:row>
    <x:row r="32">
      <x:c r="A32" s="26" t="str">
        <x:v>PAT-015</x:v>
      </x:c>
      <x:c r="B32" s="26" t="str">
        <x:v>Patent</x:v>
      </x:c>
      <x:c r="C32" s="26" t="str">
        <x:v>Run broad disclosure-support audit before provisional filing</x:v>
      </x:c>
      <x:c r="D32" s="26" t="str">
        <x:v>Support matrix confirms disclosure of broad-to-narrow variants across pest taxa, sensor modalities, identification/group logic, targeting/delivery modes, lethal mechanisms/materials/acts, safety controls, alternatives, failure states, and combinations reasonably contemplated for later claims.</x:v>
      </x:c>
      <x:c r="E32" s="26" t="str">
        <x:v>Robert/AI/Patent counsel</x:v>
      </x:c>
      <x:c r="F32" s="26" t="str">
        <x:v>Not Started</x:v>
      </x:c>
      <x:c r="G32" s="26" t="str">
        <x:v>Critical</x:v>
      </x:c>
      <x:c r="H32" s="26" t="str">
        <x:v>1-week</x:v>
      </x:c>
      <x:c r="I32" s="26" t="str">
        <x:v>PAT-002,PAT-003</x:v>
      </x:c>
      <x:c r="J32" s="26" t="str">
        <x:v>Purpose is later claim support under §112(a), not claim-count completion.</x:v>
      </x:c>
    </x:row>
    <x:row r="33">
      <x:c r="A33" s="26" t="str">
        <x:v>PAT-016</x:v>
      </x:c>
      <x:c r="B33" s="26" t="str">
        <x:v>Patent</x:v>
      </x:c>
      <x:c r="C33" s="26" t="str">
        <x:v>Maintain supplemental-provisional decision process</x:v>
      </x:c>
      <x:c r="D33" s="26" t="str">
        <x:v>Any material post-filing conception/improvement is dated, inventor-attributed, support-mapped, and evaluated promptly for an additional provisional before disclosure or nonprovisional filing.</x:v>
      </x:c>
      <x:c r="E33" s="26" t="str">
        <x:v>Robert/Patent counsel</x:v>
      </x:c>
      <x:c r="F33" s="26" t="str">
        <x:v>In Progress</x:v>
      </x:c>
      <x:c r="G33" s="26" t="str">
        <x:v>High</x:v>
      </x:c>
      <x:c r="H33" s="26" t="str">
        <x:v>12-month window</x:v>
      </x:c>
      <x:c r="I33" s="26" t="str">
        <x:v>PAT-013</x:v>
      </x:c>
      <x:c r="J33" s="26" t="str">
        <x:v>Do not attempt to add substantive new matter to the filed provisional.</x:v>
      </x:c>
    </x:row>
    <x:row r="34">
      <x:c r="F34"/>
    </x:row>
    <x:row r="35">
      <x:c r="A35" s="26" t="str">
        <x:v>PAT-017</x:v>
      </x:c>
      <x:c r="B35" s="26" t="str">
        <x:v>Patent</x:v>
      </x:c>
      <x:c r="C35" s="26" t="str">
        <x:v>Build broad disclosure matrix</x:v>
      </x:c>
      <x:c r="D35" s="26" t="str">
        <x:v>Matrix enumerates pest classes, sensors, recognition outputs, decision logic, targeting/delivery, lethal/control mechanisms, safety, representative embodiments, support status, and inventor-confirmation needs.</x:v>
      </x:c>
      <x:c r="E35" s="26" t="str">
        <x:v>AI/Robert</x:v>
      </x:c>
      <x:c r="F35" s="26" t="str">
        <x:v>Complete</x:v>
      </x:c>
      <x:c r="G35" s="26" t="str">
        <x:v>Critical</x:v>
      </x:c>
      <x:c r="H35" s="26" t="str">
        <x:v>1-week</x:v>
      </x:c>
      <x:c r="I35" s="26" t="str">
        <x:v>PAT-002</x:v>
      </x:c>
      <x:c r="J35" s="26" t="str">
        <x:v>Primary provisional drafting control; not a claim-count exercise.</x:v>
      </x:c>
    </x:row>
    <x:row r="36">
      <x:c r="A36" s="26" t="str">
        <x:v>PAT-018</x:v>
      </x:c>
      <x:c r="B36" s="26" t="str">
        <x:v>Patent</x:v>
      </x:c>
      <x:c r="C36" s="26" t="str">
        <x:v>Create claim-to-spec support matrix</x:v>
      </x:c>
      <x:c r="D36" s="26" t="str">
        <x:v>Broad/intermediate/narrow contemplated concepts mapped to exact provisional section refs, support status, prior-art/§112 issues, and support gaps.</x:v>
      </x:c>
      <x:c r="E36" s="26" t="str">
        <x:v>AI/Robert</x:v>
      </x:c>
      <x:c r="F36" s="26" t="str">
        <x:v>Complete</x:v>
      </x:c>
      <x:c r="G36" s="26" t="str">
        <x:v>Critical</x:v>
      </x:c>
      <x:c r="H36" s="26" t="str">
        <x:v>1-week</x:v>
      </x:c>
      <x:c r="I36" s="26" t="str">
        <x:v>PAT-017</x:v>
      </x:c>
      <x:c r="J36" s="26" t="str">
        <x:v>Claims remain probes; matrix identifies filing support gaps.</x:v>
      </x:c>
    </x:row>
    <x:row r="37">
      <x:c r="A37" s="26" t="str">
        <x:v>PAT-019</x:v>
      </x:c>
      <x:c r="B37" s="26" t="str">
        <x:v>Patent</x:v>
      </x:c>
      <x:c r="C37" s="26" t="str">
        <x:v>Draft provisional specification v0.2 from disclosure matrix</x:v>
      </x:c>
      <x:c r="D37" s="26" t="str">
        <x:v>Working DOCX contains definitions, architecture, sensor/recognition pipeline, population model, decision engine, control interfaces, safety, logging, concrete representative embodiments, variants, and figure descriptions.</x:v>
      </x:c>
      <x:c r="E37" s="26" t="str">
        <x:v>AI/Robert</x:v>
      </x:c>
      <x:c r="F37" s="26" t="str">
        <x:v>In Progress</x:v>
      </x:c>
      <x:c r="G37" s="26" t="str">
        <x:v>Critical</x:v>
      </x:c>
      <x:c r="H37" s="26" t="str">
        <x:v>1-week</x:v>
      </x:c>
      <x:c r="I37" s="26" t="str">
        <x:v>PAT-017,PAT-018</x:v>
      </x:c>
      <x:c r="J37" s="26" t="str">
        <x:v>Claim-support architecture exists, but the complete provisional specification DOCX has not yet been emitted and reviewed; do not mark complete until that artifact passes inventor/counsel review.</x:v>
      </x:c>
    </x:row>
    <x:row r="38">
      <x:c r="A38" s="26" t="str">
        <x:v>PAT-020</x:v>
      </x:c>
      <x:c r="B38" s="26" t="str">
        <x:v>Patent</x:v>
      </x:c>
      <x:c r="C38" s="26" t="str">
        <x:v>Establish dated post-filing invention log</x:v>
      </x:c>
      <x:c r="D38" s="26" t="str">
        <x:v>Log captures conception date, contributors, technical delta, existing support, claim impact, evidence, disclosure risk, and supplemental-provisional evaluation.</x:v>
      </x:c>
      <x:c r="E38" s="26" t="str">
        <x:v>AI/Robert</x:v>
      </x:c>
      <x:c r="F38" s="26" t="str">
        <x:v>Complete</x:v>
      </x:c>
      <x:c r="G38" s="26" t="str">
        <x:v>High</x:v>
      </x:c>
      <x:c r="H38" s="26" t="str">
        <x:v>1-week</x:v>
      </x:c>
      <x:c r="I38" s="26" t="str">
        <x:v>PAT-013</x:v>
      </x:c>
      <x:c r="J38" s="26" t="str">
        <x:v>Use continuously during provisional year.</x:v>
      </x:c>
    </x:row>
    <x:row r="39">
      <x:c r="A39" s="26" t="str">
        <x:v>PAT-021</x:v>
      </x:c>
      <x:c r="B39" s="26" t="str">
        <x:v>Patent</x:v>
      </x:c>
      <x:c r="C39" s="26" t="str">
        <x:v>Establish supplemental-provisional evaluation rubric</x:v>
      </x:c>
      <x:c r="D39" s="26" t="str">
        <x:v>Weighted decision rubric flags new subject matter, claim relevance, disclosure timing, technical detail, inventorship, scope delta, prior art, and deployment value.</x:v>
      </x:c>
      <x:c r="E39" s="26" t="str">
        <x:v>AI/Robert</x:v>
      </x:c>
      <x:c r="F39" s="26" t="str">
        <x:v>Complete</x:v>
      </x:c>
      <x:c r="G39" s="26" t="str">
        <x:v>High</x:v>
      </x:c>
      <x:c r="H39" s="26" t="str">
        <x:v>1-week</x:v>
      </x:c>
      <x:c r="I39" s="26" t="str">
        <x:v>PAT-020</x:v>
      </x:c>
      <x:c r="J39" s="26" t="str">
        <x:v>Counsel controls filing decision; rubric is triage.</x:v>
      </x:c>
    </x:row>
    <x:row r="40">
      <x:c r="A40" s="26" t="str">
        <x:v>PAT-022</x:v>
      </x:c>
      <x:c r="B40" s="26" t="str">
        <x:v>Patent</x:v>
      </x:c>
      <x:c r="C40" s="26" t="str">
        <x:v>Inventor-confirm AI-proposed embodiments</x:v>
      </x:c>
      <x:c r="D40" s="26" t="str">
        <x:v>Robert/co-inventors review each Broad Disclosure Matrix row marked Required and confirm, revise, or delete the technical embodiment before filing.</x:v>
      </x:c>
      <x:c r="E40" s="26" t="str">
        <x:v>Robert/Co-inventors</x:v>
      </x:c>
      <x:c r="F40" s="26" t="str">
        <x:v>Not Started</x:v>
      </x:c>
      <x:c r="G40" s="26" t="str">
        <x:v>Critical</x:v>
      </x:c>
      <x:c r="H40" s="26" t="str">
        <x:v>1-week</x:v>
      </x:c>
      <x:c r="I40" s="26" t="str">
        <x:v>PAT-017,PAT-019</x:v>
      </x:c>
      <x:c r="J40" s="26" t="str">
        <x:v>Blocking inventorship/written-description accuracy issue.</x:v>
      </x:c>
    </x:row>
    <x:row r="41">
      <x:c r="A41" s="26" t="str">
        <x:v>PAT-023</x:v>
      </x:c>
      <x:c r="B41" s="26" t="str">
        <x:v>Patent</x:v>
      </x:c>
      <x:c r="C41" s="26" t="str">
        <x:v>Prepare provisional drawings</x:v>
      </x:c>
      <x:c r="D41" s="26" t="str">
        <x:v>Prepare figures for system architecture, sensor pipeline, identity/population registry, completeness state machine, decision gates, selective delivery interface, remote trap, and event log.</x:v>
      </x:c>
      <x:c r="E41" s="26" t="str">
        <x:v>Robert/AI/Patent counsel</x:v>
      </x:c>
      <x:c r="F41" s="26" t="str">
        <x:v>Complete</x:v>
      </x:c>
      <x:c r="G41" s="26" t="str">
        <x:v>Critical</x:v>
      </x:c>
      <x:c r="H41" s="26" t="str">
        <x:v>1-week</x:v>
      </x:c>
      <x:c r="I41" s="26" t="str">
        <x:v>PAT-019,PAT-022</x:v>
      </x:c>
      <x:c r="J41" s="26" t="str">
        <x:v>FIGS. 1-12 drafted as patent-style line figures with stable reference numerals; integrate/iterate during counsel review.</x:v>
      </x:c>
    </x:row>
    <x:row r="42">
      <x:c r="A42" s="26" t="str">
        <x:v>PAT-024</x:v>
      </x:c>
      <x:c r="B42" s="26" t="str">
        <x:v>Patent</x:v>
      </x:c>
      <x:c r="C42" s="26" t="str">
        <x:v>Draft unrestricted exemplary claim universe</x:v>
      </x:c>
      <x:c r="D42" s="26" t="str">
        <x:v>Initial 100-claim universe with 10 independent families and 90 singly dependent claims covering the inventor-stated treatment, recognition, local-population, AI-training, feed, system, and software concepts; no ceiling implied.</x:v>
      </x:c>
      <x:c r="E42" s="26" t="str">
        <x:v>AI/Robert</x:v>
      </x:c>
      <x:c r="F42" s="26" t="str">
        <x:v>Complete</x:v>
      </x:c>
      <x:c r="G42" s="26" t="str">
        <x:v>Critical</x:v>
      </x:c>
      <x:c r="H42" s="26" t="str">
        <x:v>1-week</x:v>
      </x:c>
      <x:c r="I42" s="26" t="str">
        <x:v>PAT-017,PAT-018</x:v>
      </x:c>
      <x:c r="J42" s="26" t="str">
        <x:v>Claims are support/patentability probes and conversion candidates, not a filing requirement or cap.</x:v>
      </x:c>
    </x:row>
    <x:row r="43">
      <x:c r="A43" s="26" t="str">
        <x:v>PAT-025</x:v>
      </x:c>
      <x:c r="B43" s="26" t="str">
        <x:v>Patent</x:v>
      </x:c>
      <x:c r="C43" s="26" t="str">
        <x:v>Expand technical disclosure for all 10 claim families</x:v>
      </x:c>
      <x:c r="D43" s="26" t="str">
        <x:v>Specification provides concrete representative embodiments, structures/data flows, training/configuration, local-population logic, delivery interfaces, safety/failure states, and treatment-class descriptions sufficient to support later pruning without adding technical matter.</x:v>
      </x:c>
      <x:c r="E43" s="26" t="str">
        <x:v>Robert/AI/Patent counsel</x:v>
      </x:c>
      <x:c r="F43" s="26" t="str">
        <x:v>In Progress</x:v>
      </x:c>
      <x:c r="G43" s="26" t="str">
        <x:v>Critical</x:v>
      </x:c>
      <x:c r="H43" s="26" t="str">
        <x:v>1-week</x:v>
      </x:c>
      <x:c r="I43" s="26" t="str">
        <x:v>PAT-024</x:v>
      </x:c>
      <x:c r="J43" s="26" t="str">
        <x:v>Specification v0.3 expands population-completeness, reproductive-control, toxicant, genetic-control and broader target-animal support; inventor-confirmation blockers remain.</x:v>
      </x:c>
    </x:row>
    <x:row r="44">
      <x:c r="A44" s="26" t="str">
        <x:v>PAT-026</x:v>
      </x:c>
      <x:c r="B44" s="26" t="str">
        <x:v>Patent</x:v>
      </x:c>
      <x:c r="C44" s="26" t="str">
        <x:v>Month-10 conversion claim-pruning review</x:v>
      </x:c>
      <x:c r="D44" s="26" t="str">
        <x:v>At approximately ten months after filing, claim universe is claim-charted, consolidated, fee/restriction optimized, and selected for nonprovisional filing without adding technical subject matter absent a separately supported later filing.</x:v>
      </x:c>
      <x:c r="E44" s="26" t="str">
        <x:v>Robert/Patent counsel</x:v>
      </x:c>
      <x:c r="F44" s="26" t="str">
        <x:v>Not Started</x:v>
      </x:c>
      <x:c r="G44" s="26" t="str">
        <x:v>High</x:v>
      </x:c>
      <x:c r="H44" s="26" t="str">
        <x:v>10-month checkpoint</x:v>
      </x:c>
      <x:c r="I44" s="26" t="str">
        <x:v>PAT-013,PAT-024</x:v>
      </x:c>
      <x:c r="J44" s="26" t="str">
        <x:v>Timing is planning target; statutory filing deadline and priority support control.</x:v>
      </x:c>
    </x:row>
    <x:row r="45">
      <x:c r="A45" s="26" t="str">
        <x:v>PAT-027</x:v>
      </x:c>
      <x:c r="B45" s="26" t="str">
        <x:v>Patent</x:v>
      </x:c>
      <x:c r="C45" s="26" t="str">
        <x:v>Add specified-toxicant claim family</x:v>
      </x:c>
      <x:c r="D45" s="26" t="str">
        <x:v>Independent claim 101 plus claims 102-110 distinguish a predetermined toxicant from general toxicity and species-selective toxicity, including warfarin, sodium nitrite, feed carrier, population-state gating, safety vetoes, and AI training variants.</x:v>
      </x:c>
      <x:c r="E45" s="26" t="str">
        <x:v>AI/Robert</x:v>
      </x:c>
      <x:c r="F45" s="26" t="str">
        <x:v>Complete</x:v>
      </x:c>
      <x:c r="G45" s="26" t="str">
        <x:v>High</x:v>
      </x:c>
      <x:c r="H45" s="26" t="str">
        <x:v>1-week</x:v>
      </x:c>
      <x:c r="I45" s="26" t="str">
        <x:v>PAT-024</x:v>
      </x:c>
      <x:c r="J45" s="26" t="str">
        <x:v>Named-agent dependent claims are support/fallback claims; actual field use remains governed by current labels/approvals.</x:v>
      </x:c>
    </x:row>
    <x:row r="46">
      <x:c r="A46" s="26" t="str">
        <x:v>PAT-028</x:v>
      </x:c>
      <x:c r="B46" s="26" t="str">
        <x:v>Patent</x:v>
      </x:c>
      <x:c r="C46" s="26" t="str">
        <x:v>Add generic target-animal claim family</x:v>
      </x:c>
      <x:c r="D46" s="26" t="str">
        <x:v>Claims 111-120 preserve recognition-gated population-control architecture across representative target animal classes while flagging full-scope §112 support requirements.</x:v>
      </x:c>
      <x:c r="E46" s="26" t="str">
        <x:v>AI/Robert</x:v>
      </x:c>
      <x:c r="F46" s="26" t="str">
        <x:v>Complete</x:v>
      </x:c>
      <x:c r="G46" s="26" t="str">
        <x:v>High</x:v>
      </x:c>
      <x:c r="H46" s="26" t="str">
        <x:v>1-week</x:v>
      </x:c>
      <x:c r="I46" s="26" t="str">
        <x:v>PAT-024</x:v>
      </x:c>
      <x:c r="J46" s="26" t="str">
        <x:v>Feral swine remains core; other-animal breadth requires representative embodiments.</x:v>
      </x:c>
    </x:row>
    <x:row r="47">
      <x:c r="A47" s="26" t="str">
        <x:v>PAT-029</x:v>
      </x:c>
      <x:c r="B47" s="26" t="str">
        <x:v>Patent</x:v>
      </x:c>
      <x:c r="C47" s="26" t="str">
        <x:v>Add attraction/conditioning/trough claim family</x:v>
      </x:c>
      <x:c r="D47" s="26" t="str">
        <x:v>Claims 121-130 cover conditioning feed, troughs, pre-baiting, olfactory/acoustic attraction, local-population learning, and transition to active population-control feed/treatment.</x:v>
      </x:c>
      <x:c r="E47" s="26" t="str">
        <x:v>AI/Robert</x:v>
      </x:c>
      <x:c r="F47" s="26" t="str">
        <x:v>Complete</x:v>
      </x:c>
      <x:c r="G47" s="26" t="str">
        <x:v>Critical</x:v>
      </x:c>
      <x:c r="H47" s="26" t="str">
        <x:v>1-week</x:v>
      </x:c>
      <x:c r="I47" s="26" t="str">
        <x:v>PAT-024</x:v>
      </x:c>
      <x:c r="J47" s="26" t="str">
        <x:v>Prior-art and non-target/regulatory review required.</x:v>
      </x:c>
    </x:row>
    <x:row r="48">
      <x:c r="A48" s="26" t="str">
        <x:v>PAT-030</x:v>
      </x:c>
      <x:c r="B48" s="26" t="str">
        <x:v>Patent</x:v>
      </x:c>
      <x:c r="C48" s="26" t="str">
        <x:v>Add KAPUT® warfarin named-product family</x:v>
      </x:c>
      <x:c r="D48" s="26" t="str">
        <x:v>Claims 131-135 expressly cover KAPUT® Feral Hog Bait identified by EPA Reg. No. 72500-26 and warfarin, including 0.005% dependent scope, trough access, population gating, and safety veto.</x:v>
      </x:c>
      <x:c r="E48" s="26" t="str">
        <x:v>AI/Robert</x:v>
      </x:c>
      <x:c r="F48" s="26" t="str">
        <x:v>Complete</x:v>
      </x:c>
      <x:c r="G48" s="26" t="str">
        <x:v>High</x:v>
      </x:c>
      <x:c r="H48" s="26" t="str">
        <x:v>1-week</x:v>
      </x:c>
      <x:c r="I48" s="26" t="str">
        <x:v>PAT-027</x:v>
      </x:c>
      <x:c r="J48" s="26" t="str">
        <x:v>Trade name is accompanied by definite technical/regulatory identification.</x:v>
      </x:c>
    </x:row>
    <x:row r="49">
      <x:c r="A49" s="26" t="str">
        <x:v>PAT-031</x:v>
      </x:c>
      <x:c r="B49" s="26" t="str">
        <x:v>Patent</x:v>
      </x:c>
      <x:c r="C49" s="26" t="str">
        <x:v>Integrate FIGS. 1-12 reference numerals into specification</x:v>
      </x:c>
      <x:c r="D49" s="26" t="str">
        <x:v>Brief drawing descriptions and detailed-description reference convention map stable numerals 100-1290 to the created figures.</x:v>
      </x:c>
      <x:c r="E49" s="26" t="str">
        <x:v>AI/Robert</x:v>
      </x:c>
      <x:c r="F49" s="26" t="str">
        <x:v>Complete</x:v>
      </x:c>
      <x:c r="G49" s="26" t="str">
        <x:v>Critical</x:v>
      </x:c>
      <x:c r="H49" s="26" t="str">
        <x:v>1-week</x:v>
      </x:c>
      <x:c r="I49" s="26" t="str">
        <x:v>PAT-023</x:v>
      </x:c>
      <x:c r="J49" s="26" t="str">
        <x:v>Specification v0.4 and figures v0.2 now use the audited numeral set.</x:v>
      </x:c>
    </x:row>
    <x:row r="50">
      <x:c r="A50" s="26" t="str">
        <x:v>PAT-032</x:v>
      </x:c>
      <x:c r="B50" s="26" t="str">
        <x:v>Patent</x:v>
      </x:c>
      <x:c r="C50" s="26" t="str">
        <x:v>Close population-completeness §112(a) support</x:v>
      </x:c>
      <x:c r="D50" s="26" t="str">
        <x:v>Add non-limiting N_active/N_present completeness formalization, discovery-stabilization evidence, unknown-pig handling, recency/revalidation, and figure-supported state logic.</x:v>
      </x:c>
      <x:c r="E50" s="26" t="str">
        <x:v>AI/Robert</x:v>
      </x:c>
      <x:c r="F50" s="26" t="str">
        <x:v>In Progress</x:v>
      </x:c>
      <x:c r="G50" s="26" t="str">
        <x:v>Critical</x:v>
      </x:c>
      <x:c r="H50" s="26" t="str">
        <x:v>1-week</x:v>
      </x:c>
      <x:c r="I50" s="26" t="str">
        <x:v>PAT-008,PAT-031</x:v>
      </x:c>
      <x:c r="J50" s="26" t="str">
        <x:v>Specification v0.5 materially expands support with qualifying observation sessions, sensor-coverage opportunities, one-to-one association, registry versions, stabilization, exact completeness and revalidation; inventor confirmation remains blocking.</x:v>
      </x:c>
    </x:row>
    <x:row r="51">
      <x:c r="A51" s="26" t="str">
        <x:v>PAT-033</x:v>
      </x:c>
      <x:c r="B51" s="26" t="str">
        <x:v>Patent</x:v>
      </x:c>
      <x:c r="C51" s="26" t="str">
        <x:v>Strengthen reproductive-control support</x:v>
      </x:c>
      <x:c r="D51" s="26" t="str">
        <x:v>Add concrete GnRH/GonaCon, PZP and diazacon technology classes and injectable/oral architecture distinctions without asserting unverified field authorization.</x:v>
      </x:c>
      <x:c r="E51" s="26" t="str">
        <x:v>AI/Robert</x:v>
      </x:c>
      <x:c r="F51" s="26" t="str">
        <x:v>In Progress</x:v>
      </x:c>
      <x:c r="G51" s="26" t="str">
        <x:v>High</x:v>
      </x:c>
      <x:c r="H51" s="26" t="str">
        <x:v>1-week</x:v>
      </x:c>
      <x:c r="I51" s="26" t="str">
        <x:v>PAT-025</x:v>
      </x:c>
      <x:c r="J51" s="26" t="str">
        <x:v>Inventor confirmation of actually contemplated agents/routes remains required.</x:v>
      </x:c>
    </x:row>
    <x:row r="52">
      <x:c r="A52" s="26" t="str">
        <x:v>PAT-034</x:v>
      </x:c>
      <x:c r="B52" s="26" t="str">
        <x:v>Patent</x:v>
      </x:c>
      <x:c r="C52" s="26" t="str">
        <x:v>Resolve species-selective-toxicant support</x:v>
      </x:c>
      <x:c r="D52" s="26" t="str">
        <x:v>Distinguish general toxicant, predetermined toxicant, differential susceptibility and true species-selective toxicity; identify concrete inventor-conceived species if broad branch retained.</x:v>
      </x:c>
      <x:c r="E52" s="26" t="str">
        <x:v>Robert/AI/Patent counsel</x:v>
      </x:c>
      <x:c r="F52" s="26" t="str">
        <x:v>Not Started</x:v>
      </x:c>
      <x:c r="G52" s="26" t="str">
        <x:v>Critical</x:v>
      </x:c>
      <x:c r="H52" s="26" t="str">
        <x:v>1-week</x:v>
      </x:c>
      <x:c r="I52" s="26" t="str">
        <x:v>PAT-025</x:v>
      </x:c>
      <x:c r="J52" s="26" t="str">
        <x:v>Sodium nitrite supports differential susceptibility, not exclusive species specificity.</x:v>
      </x:c>
    </x:row>
    <x:row r="53">
      <x:c r="A53" s="26" t="str">
        <x:v>PAT-035</x:v>
      </x:c>
      <x:c r="B53" s="26" t="str">
        <x:v>Patent</x:v>
      </x:c>
      <x:c r="C53" s="26" t="str">
        <x:v>Resolve genetic-modification §112(a) support</x:v>
      </x:c>
      <x:c r="D53" s="26" t="str">
        <x:v>Identify inventor-conceived genetic-control mechanism, intended biological effect, delivery route and enabling technical detail, or narrow/defer branch.</x:v>
      </x:c>
      <x:c r="E53" s="26" t="str">
        <x:v>Robert/Co-inventors/Patent counsel</x:v>
      </x:c>
      <x:c r="F53" s="26" t="str">
        <x:v>Not Started</x:v>
      </x:c>
      <x:c r="G53" s="26" t="str">
        <x:v>Critical</x:v>
      </x:c>
      <x:c r="H53" s="26" t="str">
        <x:v>1-week</x:v>
      </x:c>
      <x:c r="I53" s="26" t="str">
        <x:v>PAT-025</x:v>
      </x:c>
      <x:c r="J53" s="26" t="str">
        <x:v>AI/web research cannot substitute for inventor conception; current branch remains blocking.</x:v>
      </x:c>
    </x:row>
    <x:row r="54">
      <x:c r="A54" s="26" t="str">
        <x:v>PAT-036</x:v>
      </x:c>
      <x:c r="B54" s="26" t="str">
        <x:v>Patent</x:v>
      </x:c>
      <x:c r="C54" s="26" t="str">
        <x:v>Strengthen broader target-animal representative support</x:v>
      </x:c>
      <x:c r="D54" s="26" t="str">
        <x:v>Provide technically distinct terrestrial-mammal, bird, reptile/amphibian, aquatic-vertebrate and arthropod embodiments linked to common architecture and explicit adaptation points.</x:v>
      </x:c>
      <x:c r="E54" s="26" t="str">
        <x:v>AI/Robert</x:v>
      </x:c>
      <x:c r="F54" s="26" t="str">
        <x:v>In Progress</x:v>
      </x:c>
      <x:c r="G54" s="26" t="str">
        <x:v>High</x:v>
      </x:c>
      <x:c r="H54" s="26" t="str">
        <x:v>1-week</x:v>
      </x:c>
      <x:c r="I54" s="26" t="str">
        <x:v>PAT-025,PAT-031</x:v>
      </x:c>
      <x:c r="J54" s="26" t="str">
        <x:v>Inventor/counsel confirmation required before relying on very broad genus claims.</x:v>
      </x:c>
    </x:row>
    <x:row r="55">
      <x:c r="A55" s="26" t="str">
        <x:v>PAT-037</x:v>
      </x:c>
      <x:c r="B55" s="26" t="str">
        <x:v>Patent</x:v>
      </x:c>
      <x:c r="C55" s="26" t="str">
        <x:v>Render and visually QA specification v0.3 and FIGS. 1-12</x:v>
      </x:c>
      <x:c r="D55" s="26" t="str">
        <x:v>34-page specification rendering and 12-page figure rendering reviewed for clipping, overlap, broken labels and pagination defects.</x:v>
      </x:c>
      <x:c r="E55" s="26" t="str">
        <x:v>AI</x:v>
      </x:c>
      <x:c r="F55" s="26" t="str">
        <x:v>Complete</x:v>
      </x:c>
      <x:c r="G55" s="26" t="str">
        <x:v>Critical</x:v>
      </x:c>
      <x:c r="H55" s="26" t="str">
        <x:v>Current</x:v>
      </x:c>
      <x:c r="I55" s="26" t="str">
        <x:v>PAT-031</x:v>
      </x:c>
      <x:c r="J55" s="26" t="str">
        <x:v>QA passed; QA render files excluded from canonical archive.</x:v>
      </x:c>
    </x:row>
    <x:row r="56">
      <x:c r="A56" s="26" t="str">
        <x:v>GOV-003</x:v>
      </x:c>
      <x:c r="B56" s="26" t="str">
        <x:v>Governance</x:v>
      </x:c>
      <x:c r="C56" s="26" t="str">
        <x:v>Build fossil-free canonical archive v0.4</x:v>
      </x:c>
      <x:c r="D56" s="26" t="str">
        <x:v>Latest tracker, patent, claims, figures, MPEP authorities, planning controls, roadmap and transcript only, with JSON/CSV manifest and SHA-256 hashes.</x:v>
      </x:c>
      <x:c r="E56" s="26" t="str">
        <x:v>AI</x:v>
      </x:c>
      <x:c r="F56" s="26" t="str">
        <x:v>Complete</x:v>
      </x:c>
      <x:c r="G56" s="26" t="str">
        <x:v>Critical</x:v>
      </x:c>
      <x:c r="H56" s="26" t="str">
        <x:v>Current</x:v>
      </x:c>
      <x:c r="I56" s="26" t="str">
        <x:v>PAT-037</x:v>
      </x:c>
      <x:c r="J56" s="26" t="str">
        <x:v>Superseded versions, prior archives, QA previews and obsolete planning artifacts excluded.</x:v>
      </x:c>
    </x:row>
    <x:row r="57">
      <x:c r="A57" s="26" t="str">
        <x:v>PAT-038</x:v>
      </x:c>
      <x:c r="B57" s="26" t="str">
        <x:v>Patent</x:v>
      </x:c>
      <x:c r="C57" s="26" t="str">
        <x:v>Complete figure-to-spec reference numeral audit</x:v>
      </x:c>
      <x:c r="D57" s="26" t="str">
        <x:v>Tracked reference numerals audited across FIGS. 1-12 v0.2, specification v0.4, and tracker; subordinate FIG. 1/2/4 numerals corrected.</x:v>
      </x:c>
      <x:c r="E57" s="26" t="str">
        <x:v>AI</x:v>
      </x:c>
      <x:c r="F57" s="26" t="str">
        <x:v>Complete</x:v>
      </x:c>
      <x:c r="G57" s="26" t="str">
        <x:v>Critical</x:v>
      </x:c>
      <x:c r="H57" s="26" t="str">
        <x:v>Current</x:v>
      </x:c>
      <x:c r="I57" s="26" t="str">
        <x:v>PAT-031</x:v>
      </x:c>
      <x:c r="J57" s="26" t="str">
        <x:v>Audit passes after correcting drawing/spec/tracker mismatches.</x:v>
      </x:c>
    </x:row>
    <x:row r="58">
      <x:c r="A58" s="26" t="str">
        <x:v>PAT-039</x:v>
      </x:c>
      <x:c r="B58" s="26" t="str">
        <x:v>Patent</x:v>
      </x:c>
      <x:c r="C58" s="26" t="str">
        <x:v>Complete independent claim-to-spec limitation audit</x:v>
      </x:c>
      <x:c r="D58" s="26" t="str">
        <x:v>63 limitation-level rows map all 14 independent claim families to exact paragraph and figure support with §112 rating, blocking status, and required action.</x:v>
      </x:c>
      <x:c r="E58" s="26" t="str">
        <x:v>AI</x:v>
      </x:c>
      <x:c r="F58" s="26" t="str">
        <x:v>Complete</x:v>
      </x:c>
      <x:c r="G58" s="26" t="str">
        <x:v>Critical</x:v>
      </x:c>
      <x:c r="H58" s="26" t="str">
        <x:v>Current</x:v>
      </x:c>
      <x:c r="I58" s="26" t="str">
        <x:v>PAT-038</x:v>
      </x:c>
      <x:c r="J58" s="26" t="str">
        <x:v>Detailed Claim-Spec Audit sheet is controlling working support map.</x:v>
      </x:c>
    </x:row>
    <x:row r="59">
      <x:c r="A59" s="26" t="str">
        <x:v>PAT-040</x:v>
      </x:c>
      <x:c r="B59" s="26" t="str">
        <x:v>Patent</x:v>
      </x:c>
      <x:c r="C59" s="26" t="str">
        <x:v>Prepare inventor-confirmation questionnaire from blocking claim limitations</x:v>
      </x:c>
      <x:c r="D59" s="26" t="str">
        <x:v>Concise technical questionnaire resolves local identity/completeness, species-selective toxicant, reproductive route, genetic-control mechanism, and broad other-animal conception without converting AI proposals into inventor conception.</x:v>
      </x:c>
      <x:c r="E59" s="26" t="str">
        <x:v>AI/Robert/Co-inventors</x:v>
      </x:c>
      <x:c r="F59" s="26" t="str">
        <x:v>Complete</x:v>
      </x:c>
      <x:c r="G59" s="26" t="str">
        <x:v>Critical</x:v>
      </x:c>
      <x:c r="H59" s="26" t="str">
        <x:v>Current</x:v>
      </x:c>
      <x:c r="I59" s="26" t="str">
        <x:v>PAT-039</x:v>
      </x:c>
      <x:c r="J59" s="26" t="str">
        <x:v>Inventor_Confirmation_Questionnaire_v0.1 created and visually QA-checked.</x:v>
      </x:c>
    </x:row>
    <x:row r="60">
      <x:c r="A60" s="26" t="str">
        <x:v>PAT-041</x:v>
      </x:c>
      <x:c r="B60" s="26" t="str">
        <x:v>Patent</x:v>
      </x:c>
      <x:c r="C60" s="26" t="str">
        <x:v>Obtain inventor responses to confirmation questionnaire</x:v>
      </x:c>
      <x:c r="D60" s="26" t="str">
        <x:v>Inventors complete/review local identity/completeness, toxicant selectivity, reproductive, genetic, attraction/trough, broader target-animal, and conception/evidence questions.</x:v>
      </x:c>
      <x:c r="E60" s="26" t="str">
        <x:v>Robert/Co-inventors</x:v>
      </x:c>
      <x:c r="F60" s="26" t="str">
        <x:v>Not Started</x:v>
      </x:c>
      <x:c r="G60" s="26" t="str">
        <x:v>Critical</x:v>
      </x:c>
      <x:c r="H60" s="26" t="str">
        <x:v>Next inventor input</x:v>
      </x:c>
      <x:c r="I60" s="26" t="str">
        <x:v>PAT-040</x:v>
      </x:c>
      <x:c r="J60" s="26" t="str">
        <x:v>Needed before treating confirmation-gated branches as early-priority support.</x:v>
      </x:c>
    </x:row>
    <x:row r="61">
      <x:c r="A61" s="26" t="str">
        <x:v>PAT-042</x:v>
      </x:c>
      <x:c r="B61" s="26" t="str">
        <x:v>Prior Art</x:v>
      </x:c>
      <x:c r="C61" s="26" t="str">
        <x:v>Begin formal element-by-element prior-art claim charting</x:v>
      </x:c>
      <x:c r="D61" s="26" t="str">
        <x:v>Chart Claims 1, 11, 21, 31, 41, 51, 61, 71, 81, 91, 101, 111, 121 and 131 against identified references and expand USPTO Patent Public Search/Google Patents search log.</x:v>
      </x:c>
      <x:c r="E61" s="26" t="str">
        <x:v>AI/Robert/Patent searcher</x:v>
      </x:c>
      <x:c r="F61" s="26" t="str">
        <x:v>In Progress</x:v>
      </x:c>
      <x:c r="G61" s="26" t="str">
        <x:v>Critical</x:v>
      </x:c>
      <x:c r="H61" s="26" t="str">
        <x:v>Current</x:v>
      </x:c>
      <x:c r="I61" s="26" t="str">
        <x:v>PAT-039</x:v>
      </x:c>
      <x:c r="J61" s="26" t="str">
        <x:v>Claims 1, 11, 21, 121, and 136 now have limitation-level charts. Generic recognition→control, recognition-gated toxicant access, and conditioning→treatment at a feeder are materially crowded. Current differentiation focus remains discovery-stabilized learned membership, exact identity-set completeness, unresolved-animal veto, version-bound authorization, and revalidation. Remaining independent families still require charting.</x:v>
      </x:c>
      <x:c r="K61" s="31" t="n">
        <x:v>46268</x:v>
      </x:c>
    </x:row>
    <x:row r="62">
      <x:c r="A62" s="26" t="str">
        <x:v>PAT-043</x:v>
      </x:c>
      <x:c r="B62" s="26" t="str">
        <x:v>Patent</x:v>
      </x:c>
      <x:c r="C62" s="26" t="str">
        <x:v>Draft longitudinal local-population inference/completeness section and focused claim family</x:v>
      </x:c>
      <x:c r="D62" s="26" t="str">
        <x:v>Specification adds concrete two-stage population-representation/current-presence logic, identity reconciliation, coverage, unknown handling, versioned authorization and revalidation; unrestricted claim universe adds a focused independent family without pruning existing claims.</x:v>
      </x:c>
      <x:c r="E62" s="26" t="str">
        <x:v>AI/Robert</x:v>
      </x:c>
      <x:c r="F62" s="26" t="str">
        <x:v>Complete</x:v>
      </x:c>
      <x:c r="G62" s="26" t="str">
        <x:v>Critical</x:v>
      </x:c>
      <x:c r="H62" s="26" t="str">
        <x:v>Current</x:v>
      </x:c>
      <x:c r="I62" s="26" t="str">
        <x:v>PAT-032,PAT-039,PAT-042</x:v>
      </x:c>
      <x:c r="J62" s="26" t="str">
        <x:v>Specification v0.5 adds paragraphs [0121]-[0136]; claims 136-145 add a focused versioned longitudinal-completeness family. All formalized algorithm details remain inventor-confirmation gated.</x:v>
      </x:c>
      <x:c r="K62" s="28" t="n">
        <x:v>46268</x:v>
      </x:c>
    </x:row>
    <x:row r="63">
      <x:c r="A63" s="26" t="str">
        <x:v>GOV-004</x:v>
      </x:c>
      <x:c r="B63" s="26" t="str">
        <x:v>Governance</x:v>
      </x:c>
      <x:c r="C63" s="26" t="str">
        <x:v>Normalize artifact naming and organization across active/history/export folders</x:v>
      </x:c>
      <x:c r="D63" s="26" t="str">
        <x:v>Audit same-family stem continuity, move superseded active items to history, normalize generated-export package names, preserve browser-export dependency filenames as provenance assets, and record exceptions.</x:v>
      </x:c>
      <x:c r="E63" s="26" t="str">
        <x:v>AI</x:v>
      </x:c>
      <x:c r="F63" s="26" t="str">
        <x:v>Complete</x:v>
      </x:c>
      <x:c r="G63" s="26" t="str">
        <x:v>High</x:v>
      </x:c>
      <x:c r="H63" s="26" t="str">
        <x:v>Current</x:v>
      </x:c>
      <x:c r="I63" s="26" t="str">
        <x:v>GOV-003</x:v>
      </x:c>
      <x:c r="J63" s="26" t="str">
        <x:v>Core active/history patent families pass; generated-export principal files/folders and archive ZIPs normalized; obsolete active manifest and Copilot log moved to history; current_drafts remains derivative and must be refreshed after canonical writes.</x:v>
      </x:c>
      <x:c r="K63" s="28" t="n">
        <x:v>46268</x:v>
      </x:c>
    </x:row>
  </x:sheetData>
  <x:conditionalFormatting sqref="F2:F28">
    <x:cfRule type="expression" dxfId="2" priority="1">
      <x:formula>F2="Complete"</x:formula>
    </x:cfRule>
    <x:cfRule type="expression" dxfId="3" priority="2">
      <x:formula>F2="Blocked"</x:formula>
    </x:cfRule>
  </x:conditionalFormatting>
  <x:dataValidations count="2">
    <x:dataValidation type="list" sqref="F2:F28">
      <x:formula1>"Not Started,In Progress,Blocked,Complete"</x:formula1>
    </x:dataValidation>
    <x:dataValidation type="list" sqref="G2:G28">
      <x:formula1>"Critical,High,Medium,Low"</x:formula1>
    </x:dataValidation>
  </x:dataValidations>
  <x:pageMargins left="0.7" right="0.7" top="0.75" bottom="0.75" header="0.3" footer="0.3"/>
  <x:tableParts count="1">
    <x:tablePart xmlns:r="http://schemas.openxmlformats.org/officeDocument/2006/relationships" r:id="R57ae5d8ff87f4555"/>
  </x:tableParts>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48" hidden="0" customWidth="1"/>
    <x:col min="4" max="4" width="30" hidden="0" customWidth="1"/>
    <x:col min="5" max="5" width="48" hidden="0" customWidth="1"/>
    <x:col min="6" max="6" width="10" hidden="0" customWidth="1"/>
    <x:col min="7" max="7" width="12" hidden="0" customWidth="1"/>
    <x:col min="8" max="8" width="18" hidden="0" customWidth="1"/>
    <x:col min="9" max="9" width="14" hidden="0" customWidth="1"/>
  </x:cols>
  <x:sheetData>
    <x:row r="1">
      <x:c r="A1" s="20" t="str">
        <x:v>Risk ID</x:v>
      </x:c>
      <x:c r="B1" s="20" t="str">
        <x:v>Category</x:v>
      </x:c>
      <x:c r="C1" s="20" t="str">
        <x:v>Description</x:v>
      </x:c>
      <x:c r="D1" s="20" t="str">
        <x:v>Affected artifact/claim</x:v>
      </x:c>
      <x:c r="E1" s="20" t="str">
        <x:v>Mitigation / evidence needed</x:v>
      </x:c>
      <x:c r="F1" s="20" t="str">
        <x:v>Blocking</x:v>
      </x:c>
      <x:c r="G1" s="20" t="str">
        <x:v>Status</x:v>
      </x:c>
      <x:c r="H1" s="20" t="str">
        <x:v>Owner</x:v>
      </x:c>
      <x:c r="I1" s="20" t="str">
        <x:v>Last updated</x:v>
      </x:c>
    </x:row>
    <x:row r="2">
      <x:c r="A2" s="26" t="str">
        <x:v>R-112F</x:v>
      </x:c>
      <x:c r="B2" s="26" t="str">
        <x:v>112(f)</x:v>
      </x:c>
      <x:c r="C2" s="26" t="str">
        <x:v>'Lethal means' could be construed as a means-plus-function/functional placeholder without adequate corresponding disclosure.</x:v>
      </x:c>
      <x:c r="D2" s="26" t="str">
        <x:v>Claim 1 / specification</x:v>
      </x:c>
      <x:c r="E2" s="26" t="str">
        <x:v>Choose deliberate MPF support or recite concrete acts/materials/structures; provide embodiments for each lethal modality.</x:v>
      </x:c>
      <x:c r="F2" s="26" t="str">
        <x:v>Yes</x:v>
      </x:c>
      <x:c r="G2" s="26" t="str">
        <x:v>Open</x:v>
      </x:c>
      <x:c r="H2" s="26" t="str">
        <x:v>Robert/Counsel</x:v>
      </x:c>
      <x:c r="I2" s="28" t="n">
        <x:v>46268</x:v>
      </x:c>
    </x:row>
    <x:row r="3">
      <x:c r="A3" s="26" t="str">
        <x:v>R-112B-20</x:v>
      </x:c>
      <x:c r="B3" s="26" t="str">
        <x:v>112(b)</x:v>
      </x:c>
      <x:c r="C3" s="26" t="str">
        <x:v>Claim 20's 'selectively administering' a 'general poison' to 'all members' can read internally inconsistent.</x:v>
      </x:c>
      <x:c r="D3" s="26" t="str">
        <x:v>Former Claim 20 wording (superseded)</x:v>
      </x:c>
      <x:c r="E3" s="26" t="str">
        <x:v>Resolved by retiring the former Claim-20 text and separating general-toxicant selective exposure into the current Claim 21 family; current Claim 20 is a dependent feed-delivery claim.</x:v>
      </x:c>
      <x:c r="F3" s="26" t="str">
        <x:v>No</x:v>
      </x:c>
      <x:c r="G3" s="26" t="str">
        <x:v>Resolved</x:v>
      </x:c>
      <x:c r="H3" s="26" t="str">
        <x:v>Robert/AI</x:v>
      </x:c>
      <x:c r="I3" s="28" t="n">
        <x:v>46268</x:v>
      </x:c>
    </x:row>
    <x:row r="4">
      <x:c r="A4" s="26" t="str">
        <x:v>R-WD-ALL</x:v>
      </x:c>
      <x:c r="B4" s="26" t="str">
        <x:v>written-description gap</x:v>
      </x:c>
      <x:c r="C4" s="26" t="str">
        <x:v>Local-population completeness / 'all required members present' requires inventor-confirmed operational criteria despite substantial current specification support.</x:v>
      </x:c>
      <x:c r="D4" s="26" t="str">
        <x:v>Claims 11-20, 25-26, 35-36, 47, 56-58, 69, 74, 94-98, 105, 114-117, 127-130, 134 and focused completeness family</x:v>
      </x:c>
      <x:c r="E4" s="26" t="str">
        <x:v>Maintain concrete population registry, identity confidence, discovery stabilization, sensor-coverage/observation-opportunity logic, current-recency rules, unknown-member handling, state versioning, revalidation and abort logic; inventor must confirm actual conceived algorithm.</x:v>
      </x:c>
      <x:c r="F4" s="26" t="str">
        <x:v>Yes</x:v>
      </x:c>
      <x:c r="G4" s="26" t="str">
        <x:v>Open</x:v>
      </x:c>
      <x:c r="H4" s="26" t="str">
        <x:v>Robert</x:v>
      </x:c>
      <x:c r="I4" s="28" t="n">
        <x:v>46268</x:v>
      </x:c>
    </x:row>
    <x:row r="5">
      <x:c r="A5" s="26" t="str">
        <x:v>R-EN-RECOG</x:v>
      </x:c>
      <x:c r="B5" s="26" t="str">
        <x:v>enablement gap</x:v>
      </x:c>
      <x:c r="C5" s="26" t="str">
        <x:v>Recognition pipeline may be stated at result level without data/model/hardware and error handling detail.</x:v>
      </x:c>
      <x:c r="D5" s="26" t="str">
        <x:v>All claims</x:v>
      </x:c>
      <x:c r="E5" s="26" t="str">
        <x:v>Add sensor modalities, preprocessing, model families, training/inference, thresholds, latency, environmental variation, false-positive controls.</x:v>
      </x:c>
      <x:c r="F5" s="26" t="str">
        <x:v>Yes</x:v>
      </x:c>
      <x:c r="G5" s="26" t="str">
        <x:v>Open</x:v>
      </x:c>
      <x:c r="H5" s="26" t="str">
        <x:v>Robert</x:v>
      </x:c>
      <x:c r="I5" s="28" t="n">
        <x:v>46268</x:v>
      </x:c>
    </x:row>
    <x:row r="6">
      <x:c r="A6" s="26" t="str">
        <x:v>R-PA-LSU</x:v>
      </x:c>
      <x:c r="B6" s="26" t="str">
        <x:v>prior-art risk</x:v>
      </x:c>
      <x:c r="C6" s="26" t="str">
        <x:v>Transcript reports LSU testing a feeder that dispenses poisoned bait based on feral-hog voice recognition.</x:v>
      </x:c>
      <x:c r="D6" s="26" t="str">
        <x:v>Claims 1/20 and selective-delivery embodiments</x:v>
      </x:c>
      <x:c r="E6" s="26" t="str">
        <x:v>Trace primary source, patent families, inventors/assignees, dates, claim scope, and combine with sounder-completeness art.</x:v>
      </x:c>
      <x:c r="F6" s="26" t="str">
        <x:v>Yes</x:v>
      </x:c>
      <x:c r="G6" s="26" t="str">
        <x:v>Open</x:v>
      </x:c>
      <x:c r="H6" s="26" t="str">
        <x:v>AI/Robert</x:v>
      </x:c>
      <x:c r="I6" s="28" t="n">
        <x:v>46268</x:v>
      </x:c>
    </x:row>
    <x:row r="7">
      <x:c r="A7" s="26" t="str">
        <x:v>R-PA-SOUNDER</x:v>
      </x:c>
      <x:c r="B7" s="26" t="str">
        <x:v>prior-art risk</x:v>
      </x:c>
      <x:c r="C7" s="26" t="str">
        <x:v>Whole-sounder capture/management is known in trapping practice and may supply motivation for group-completeness logic.</x:v>
      </x:c>
      <x:c r="D7" s="26" t="str">
        <x:v>Claim 20</x:v>
      </x:c>
      <x:c r="E7" s="26" t="str">
        <x:v>Search trap-control patents/literature for remote gates, camera counting, sounder recognition, wait-for-all rules.</x:v>
      </x:c>
      <x:c r="F7" s="26" t="str">
        <x:v>Yes</x:v>
      </x:c>
      <x:c r="G7" s="26" t="str">
        <x:v>Open</x:v>
      </x:c>
      <x:c r="H7" s="26" t="str">
        <x:v>AI/Robert</x:v>
      </x:c>
      <x:c r="I7" s="28" t="n">
        <x:v>46268</x:v>
      </x:c>
    </x:row>
    <x:row r="8">
      <x:c r="A8" s="26" t="str">
        <x:v>R-RESTRICT</x:v>
      </x:c>
      <x:c r="B8" s="26" t="str">
        <x:v>restriction risk</x:v>
      </x:c>
      <x:c r="C8" s="26" t="str">
        <x:v>Broad pest genus and narrow feral-pig species embodiments may be treated as distinct inventions/species.</x:v>
      </x:c>
      <x:c r="D8" s="26" t="str">
        <x:v>Unrestricted claim universe: broad target-animal genus and feral-swine species/families</x:v>
      </x:c>
      <x:c r="E8" s="26" t="str">
        <x:v>Maintain shared sensor-recognition-authorization core and family mapping; treat restriction/unity as later prosecution strategy, not a provisional claim-count gate.</x:v>
      </x:c>
      <x:c r="F8" s="26" t="str">
        <x:v>No</x:v>
      </x:c>
      <x:c r="G8" s="26" t="str">
        <x:v>Open</x:v>
      </x:c>
      <x:c r="H8" s="26" t="str">
        <x:v>Counsel</x:v>
      </x:c>
      <x:c r="I8" s="28" t="n">
        <x:v>46268</x:v>
      </x:c>
    </x:row>
    <x:row r="9">
      <x:c r="A9" s="26" t="str">
        <x:v>R-REG</x:v>
      </x:c>
      <x:c r="B9" s="26" t="str">
        <x:v>regulatory/deployment issue</x:v>
      </x:c>
      <x:c r="C9" s="26" t="str">
        <x:v>Poison/pesticide/wildlife-control deployment may require federal/state approvals and could constrain embodiments/business model.</x:v>
      </x:c>
      <x:c r="D9" s="26" t="str">
        <x:v>Product / pilots</x:v>
      </x:c>
      <x:c r="E9" s="26" t="str">
        <x:v>Separate patent scope from deployment claims; build regulatory map; do not imply lawful field use without approvals.</x:v>
      </x:c>
      <x:c r="F9" s="26" t="str">
        <x:v>No</x:v>
      </x:c>
      <x:c r="G9" s="26" t="str">
        <x:v>Open</x:v>
      </x:c>
      <x:c r="H9" s="26" t="str">
        <x:v>Regulatory counsel</x:v>
      </x:c>
      <x:c r="I9" s="28" t="n">
        <x:v>46268</x:v>
      </x:c>
    </x:row>
    <x:row r="10">
      <x:c r="A10" s="26" t="str">
        <x:v>R-INVENT</x:v>
      </x:c>
      <x:c r="B10" s="26" t="str">
        <x:v>inventorship/ownership issue</x:v>
      </x:c>
      <x:c r="C10" s="26" t="str">
        <x:v>Conception contributions and ownership not yet fixed in writing.</x:v>
      </x:c>
      <x:c r="D10" s="26" t="str">
        <x:v>All IP / company</x:v>
      </x:c>
      <x:c r="E10" s="26" t="str">
        <x:v>Prepare conception chronology and counsel-reviewed assignment plan before equity/assignment decisions.</x:v>
      </x:c>
      <x:c r="F10" s="26" t="str">
        <x:v>Yes</x:v>
      </x:c>
      <x:c r="G10" s="26" t="str">
        <x:v>Open</x:v>
      </x:c>
      <x:c r="H10" s="26" t="str">
        <x:v>Robert/Counsel</x:v>
      </x:c>
      <x:c r="I10" s="28" t="n">
        <x:v>46268</x:v>
      </x:c>
    </x:row>
    <x:row r="11">
      <x:c r="A11" s="26" t="str">
        <x:v>R-DISC</x:v>
      </x:c>
      <x:c r="B11" s="26" t="str">
        <x:v>disclosure risk</x:v>
      </x:c>
      <x:c r="C11" s="26" t="str">
        <x:v>External discussion before filing may create loss-of-rights/foreign-filing risks.</x:v>
      </x:c>
      <x:c r="D11" s="26" t="str">
        <x:v>All IP</x:v>
      </x:c>
      <x:c r="E11" s="26" t="str">
        <x:v>NDA first; non-confidential teaser before filing; log disclosures.</x:v>
      </x:c>
      <x:c r="F11" s="26" t="str">
        <x:v>Yes</x:v>
      </x:c>
      <x:c r="G11" s="26" t="str">
        <x:v>Open</x:v>
      </x:c>
      <x:c r="H11" s="26" t="str">
        <x:v>Robert</x:v>
      </x:c>
      <x:c r="I11" s="28" t="n">
        <x:v>46268</x:v>
      </x:c>
    </x:row>
    <x:row r="12">
      <x:c r="A12" s="26" t="str">
        <x:v>R-PA-VIDEO-KILL</x:v>
      </x:c>
      <x:c r="B12" s="26" t="str">
        <x:v>prior-art risk</x:v>
      </x:c>
      <x:c r="C12" s="26" t="str">
        <x:v>US10368539B2: camera/image recognition identifies a target species and energizes electrodes to euthanize the matching animal; materially overlaps generic video-recognition + lethal-means scope.</x:v>
      </x:c>
      <x:c r="D12" s="26" t="str">
        <x:v>Claim 1; mid-scope independent</x:v>
      </x:c>
      <x:c r="E12" s="26" t="str">
        <x:v>Prepare element-by-element claim chart; identify technical distinctions before further broad-claim refinement.</x:v>
      </x:c>
      <x:c r="F12" s="26" t="str">
        <x:v>Yes</x:v>
      </x:c>
      <x:c r="G12" s="26" t="str">
        <x:v>Open</x:v>
      </x:c>
      <x:c r="H12" s="26" t="str">
        <x:v>Robert / patent counsel</x:v>
      </x:c>
      <x:c r="I12" s="28" t="n">
        <x:v>46268</x:v>
      </x:c>
      <x:c r="J12" s="28"/>
    </x:row>
    <x:row r="13">
      <x:c r="A13" s="26" t="str">
        <x:v>R-PA-USDA-AV</x:v>
      </x:c>
      <x:c r="B13" s="26" t="str">
        <x:v>prior-art risk</x:v>
      </x:c>
      <x:c r="C13" s="26" t="str">
        <x:v>US20210315186A1 (USDA): audio/visual target-species recognition autonomously enables wildlife-management devices, including toxicant delivery; feral swine are expressly contemplated.</x:v>
      </x:c>
      <x:c r="D13" s="26" t="str">
        <x:v>Claim 1; mid-scope independent; Claim 20</x:v>
      </x:c>
      <x:c r="E13" s="26" t="str">
        <x:v>Claim-chart claims 1, 7-13, 17-18 and feral-swine embodiments; search family/citations in USPTO Patent Public Search.</x:v>
      </x:c>
      <x:c r="F13" s="26" t="str">
        <x:v>Yes</x:v>
      </x:c>
      <x:c r="G13" s="26" t="str">
        <x:v>Open</x:v>
      </x:c>
      <x:c r="H13" s="26" t="str">
        <x:v>Robert / patent counsel</x:v>
      </x:c>
      <x:c r="I13" s="28" t="n">
        <x:v>46268</x:v>
      </x:c>
      <x:c r="J13" s="28"/>
    </x:row>
    <x:row r="14">
      <x:c r="A14" s="26" t="str">
        <x:v>R-PA-BOAR-FEEDER</x:v>
      </x:c>
      <x:c r="B14" s="26" t="str">
        <x:v>prior-art risk</x:v>
      </x:c>
      <x:c r="C14" s="26" t="str">
        <x:v>US20140261201A1: species-selective wild-boar feeding systems contemplate poison for population control/local-population elimination, creating risk around selective delivery of generally toxic bait.</x:v>
      </x:c>
      <x:c r="D14" s="26" t="str">
        <x:v>Claim 20 and dependent-claim space</x:v>
      </x:c>
      <x:c r="E14" s="26" t="str">
        <x:v>Claim-chart feeder gating, species selectivity, poison administration, and population-control disclosures; search continuations/citations.</x:v>
      </x:c>
      <x:c r="F14" s="26" t="str">
        <x:v>Yes</x:v>
      </x:c>
      <x:c r="G14" s="26" t="str">
        <x:v>Open</x:v>
      </x:c>
      <x:c r="H14" s="26" t="str">
        <x:v>Robert / patent counsel</x:v>
      </x:c>
      <x:c r="I14" s="28" t="n">
        <x:v>46268</x:v>
      </x:c>
      <x:c r="J14" s="28"/>
    </x:row>
  </x:sheetData>
  <x:conditionalFormatting sqref="F2:F11">
    <x:cfRule type="expression" dxfId="4" priority="1">
      <x:formula>F2="Yes"</x:formula>
    </x:cfRule>
  </x:conditionalFormatting>
  <x:conditionalFormatting sqref="G2:G11">
    <x:cfRule type="expression" dxfId="5" priority="2">
      <x:formula>G2="Resolved"</x:formula>
    </x:cfRule>
  </x:conditionalFormatting>
  <x:dataValidations count="2">
    <x:dataValidation type="list" sqref="F2:F11">
      <x:formula1>"Yes,No"</x:formula1>
    </x:dataValidation>
    <x:dataValidation type="list" sqref="G2:G11">
      <x:formula1>"Open,Mitigating,Resolved"</x:formula1>
    </x:dataValidation>
  </x:dataValidations>
  <x:pageMargins left="0.7" right="0.7" top="0.75" bottom="0.75" header="0.3" footer="0.3"/>
  <x:tableParts count="1">
    <x:tablePart xmlns:r="http://schemas.openxmlformats.org/officeDocument/2006/relationships" r:id="Ra4168c67f2544b61"/>
  </x:tableParts>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42" hidden="0" customWidth="1"/>
    <x:col min="4" max="4" width="14" hidden="0" customWidth="1"/>
    <x:col min="5" max="5" width="18" hidden="0" customWidth="1"/>
    <x:col min="6" max="6" width="50" hidden="0" customWidth="1"/>
    <x:col min="7" max="7" width="40" hidden="0" customWidth="1"/>
    <x:col min="8" max="8" width="14" hidden="0" customWidth="1"/>
    <x:col min="9" max="9" width="55" hidden="0" customWidth="1"/>
  </x:cols>
  <x:sheetData>
    <x:row r="1">
      <x:c r="A1" s="20" t="str">
        <x:v>Source ID</x:v>
      </x:c>
      <x:c r="B1" s="20" t="str">
        <x:v>Type</x:v>
      </x:c>
      <x:c r="C1" s="20" t="str">
        <x:v>Title / description</x:v>
      </x:c>
      <x:c r="D1" s="20" t="str">
        <x:v>Date</x:v>
      </x:c>
      <x:c r="E1" s="20" t="str">
        <x:v>Primary/secondary</x:v>
      </x:c>
      <x:c r="F1" s="20" t="str">
        <x:v>Key relevance</x:v>
      </x:c>
      <x:c r="G1" s="20" t="str">
        <x:v>Action</x:v>
      </x:c>
      <x:c r="H1" s="20" t="str">
        <x:v>Status</x:v>
      </x:c>
      <x:c r="I1" s="20" t="str">
        <x:v>Source / path</x:v>
      </x:c>
    </x:row>
    <x:row r="2">
      <x:c r="A2" s="26" t="str">
        <x:v>SRC-001</x:v>
      </x:c>
      <x:c r="B2" s="26" t="str">
        <x:v>Project file</x:v>
      </x:c>
      <x:c r="C2" s="26" t="str">
        <x:v>John Oliver Special Report on Feral Pigs - transcript</x:v>
      </x:c>
      <x:c r="D2" s="26" t="str">
        <x:v>2026-06-28</x:v>
      </x:c>
      <x:c r="E2" s="26" t="str">
        <x:v>Secondary / lead source</x:v>
      </x:c>
      <x:c r="F2" s="26" t="str">
        <x:v>Problem scale; sounder trapping; poison risks; LSU voice-recognition poisoned-bait feeder; contraceptive/hunting/trapping approaches</x:v>
      </x:c>
      <x:c r="G2" s="26" t="str">
        <x:v>Trace each technical assertion to primary source and prior art</x:v>
      </x:c>
      <x:c r="H2" s="26" t="str">
        <x:v>Ingested</x:v>
      </x:c>
      <x:c r="I2" s="26" t="str">
        <x:v>/mnt/data/2026-06-28 John Oliver Special Report on Feral Pigs – Transcript.docx</x:v>
      </x:c>
    </x:row>
    <x:row r="3">
      <x:c r="A3" s="26" t="str">
        <x:v>SRC-002</x:v>
      </x:c>
      <x:c r="B3" s="26" t="str">
        <x:v>USPTO</x:v>
      </x:c>
      <x:c r="C3" s="26" t="str">
        <x:v>MPEP Ninth Edition, Revision 01.2024</x:v>
      </x:c>
      <x:c r="D3" s="26" t="str">
        <x:v>2024-11</x:v>
      </x:c>
      <x:c r="E3" s="26" t="str">
        <x:v>Primary agency manual</x:v>
      </x:c>
      <x:c r="F3" s="26" t="str">
        <x:v>Baseline examination procedure; current only through 2024-01-31</x:v>
      </x:c>
      <x:c r="G3" s="26" t="str">
        <x:v>Use with subsequent publications + current laws/rules</x:v>
      </x:c>
      <x:c r="H3" s="26" t="str">
        <x:v>Indexed</x:v>
      </x:c>
      <x:c r="I3" s="26" t="str">
        <x:v>https://www.uspto.gov/web/offices/pac/mpep/</x:v>
      </x:c>
    </x:row>
    <x:row r="4">
      <x:c r="A4" s="26" t="str">
        <x:v>SRC-003</x:v>
      </x:c>
      <x:c r="B4" s="26" t="str">
        <x:v>USPTO</x:v>
      </x:c>
      <x:c r="C4" s="26" t="str">
        <x:v>Subsequent Publications (After January 31, 2024) - July 2026 Update</x:v>
      </x:c>
      <x:c r="D4" s="26" t="str">
        <x:v>2026-07</x:v>
      </x:c>
      <x:c r="E4" s="26" t="str">
        <x:v>Primary agency update index</x:v>
      </x:c>
      <x:c r="F4" s="26" t="str">
        <x:v>Official list of post-cutoff changes under consideration for future MPEP; identifies superseding materials</x:v>
      </x:c>
      <x:c r="G4" s="26" t="str">
        <x:v>Use as authority manifest</x:v>
      </x:c>
      <x:c r="H4" s="26" t="str">
        <x:v>Indexed</x:v>
      </x:c>
      <x:c r="I4" s="26" t="str">
        <x:v>https://www.uspto.gov/web/offices/pac/mpep/subsequent-publications.pdf</x:v>
      </x:c>
    </x:row>
    <x:row r="5">
      <x:c r="A5" s="26" t="str">
        <x:v>SRC-PA-001</x:v>
      </x:c>
      <x:c r="B5" s="26" t="str">
        <x:v>Patent publication</x:v>
      </x:c>
      <x:c r="C5" s="26" t="str">
        <x:v>US10368539B2 - Species specific extermination device</x:v>
      </x:c>
      <x:c r="D5" s="26" t="str">
        <x:v>2013-05-09 priority; 2019-08-06 grant</x:v>
      </x:c>
      <x:c r="E5" s="26" t="str">
        <x:v>Primary patent document</x:v>
      </x:c>
      <x:c r="F5" s="26" t="str">
        <x:v>Camera/image recognition used to gate lethal electrical actuation; major Claim 1 patentability risk.</x:v>
      </x:c>
      <x:c r="G5" s="26" t="str">
        <x:v>Claim-chart claims and family; verify prosecution/citations in USPTO Patent Public Search.</x:v>
      </x:c>
      <x:c r="H5" s="26" t="str">
        <x:v>Reviewed - triage</x:v>
      </x:c>
      <x:c r="I5" s="26" t="str">
        <x:v>https://patents.google.com/patent/US10368539B2/en</x:v>
      </x:c>
      <x:c r="J5" s="28"/>
    </x:row>
    <x:row r="6">
      <x:c r="A6" s="26" t="str">
        <x:v>SRC-PA-002</x:v>
      </x:c>
      <x:c r="B6" s="26" t="str">
        <x:v>Patent publication</x:v>
      </x:c>
      <x:c r="C6" s="26" t="str">
        <x:v>US20210315186A1 - Intelligent dual sensory species-specific recognition trigger system</x:v>
      </x:c>
      <x:c r="D6" s="26" t="str">
        <x:v>2020-04-14 priority; 2021-10-14 publication</x:v>
      </x:c>
      <x:c r="E6" s="26" t="str">
        <x:v>Primary patent document</x:v>
      </x:c>
      <x:c r="F6" s="26" t="str">
        <x:v>USDA audio+visual species recognition; autonomous wildlife-device activation; toxicants; feral swine.</x:v>
      </x:c>
      <x:c r="G6" s="26" t="str">
        <x:v>Claim-chart claims 1, 7-13, 17-18 and embodiments; verify family/citations in USPTO Patent Public Search.</x:v>
      </x:c>
      <x:c r="H6" s="26" t="str">
        <x:v>Reviewed - triage</x:v>
      </x:c>
      <x:c r="I6" s="26" t="str">
        <x:v>https://patents.google.com/patent/US20210315186A1/en</x:v>
      </x:c>
      <x:c r="J6" s="28"/>
    </x:row>
    <x:row r="7">
      <x:c r="A7" s="26" t="str">
        <x:v>SRC-PA-003</x:v>
      </x:c>
      <x:c r="B7" s="26" t="str">
        <x:v>Patent publication</x:v>
      </x:c>
      <x:c r="C7" s="26" t="str">
        <x:v>US20140261201A1 / US9295225B2 - Species specific feeder</x:v>
      </x:c>
      <x:c r="D7" s="26" t="str">
        <x:v>2013-03-15 priority; 2014-09-18 publication</x:v>
      </x:c>
      <x:c r="E7" s="26" t="str">
        <x:v>Primary patent document</x:v>
      </x:c>
      <x:c r="F7" s="26" t="str">
        <x:v>Species-selective wild-boar feeder; poison/population-control composition; local-population elimination.</x:v>
      </x:c>
      <x:c r="G7" s="26" t="str">
        <x:v>Claim-chart species gating, poison delivery, and local-population language; search continuations/citations.</x:v>
      </x:c>
      <x:c r="H7" s="26" t="str">
        <x:v>Reviewed - triage</x:v>
      </x:c>
      <x:c r="I7" s="26" t="str">
        <x:v>https://patents.google.com/patent/US20140261201A1/en</x:v>
      </x:c>
      <x:c r="J7" s="28"/>
    </x:row>
    <x:row r="8">
      <x:c r="A8" s="26" t="str">
        <x:v>SRC-007</x:v>
      </x:c>
      <x:c r="B8" s="26" t="str">
        <x:v>USPTO</x:v>
      </x:c>
      <x:c r="C8" s="26" t="str">
        <x:v>MPEP 211 / provisional priority support</x:v>
      </x:c>
      <x:c r="D8" s="26" t="str">
        <x:v>current MPEP</x:v>
      </x:c>
      <x:c r="E8" s="26" t="str">
        <x:v>Primary agency manual</x:v>
      </x:c>
      <x:c r="F8" s="26" t="str">
        <x:v>Later claim receives provisional benefit only if provisional adequately supports and enables subject matter</x:v>
      </x:c>
      <x:c r="G8" s="26" t="str">
        <x:v>Use as drafting gate</x:v>
      </x:c>
      <x:c r="H8" s="26" t="str">
        <x:v>Indexed</x:v>
      </x:c>
      <x:c r="I8" s="26" t="str">
        <x:v>https://www.uspto.gov/web/offices/pac/mpep/s211.html</x:v>
      </x:c>
    </x:row>
    <x:row r="9">
      <x:c r="A9" s="26" t="str">
        <x:v>SRC-008</x:v>
      </x:c>
      <x:c r="B9" s="26" t="str">
        <x:v>USPTO</x:v>
      </x:c>
      <x:c r="C9" s="26" t="str">
        <x:v>Provisional Application for Patent</x:v>
      </x:c>
      <x:c r="D9" s="26" t="str">
        <x:v>Current</x:v>
      </x:c>
      <x:c r="E9" s="26" t="str">
        <x:v>Primary agency guidance</x:v>
      </x:c>
      <x:c r="F9" s="26" t="str">
        <x:v>Formal patent claims are not required; USPTO recommends the provisional disclosure be as complete as possible; amendments after filing are not permitted except limited regulatory corrections.</x:v>
      </x:c>
      <x:c r="G9" s="26" t="str">
        <x:v>Use as provisional filing-strategy authority</x:v>
      </x:c>
      <x:c r="H9" s="26" t="str">
        <x:v>Indexed</x:v>
      </x:c>
      <x:c r="I9" s="26" t="str">
        <x:v>https://www.uspto.gov/patents/basics/apply/provisional-application</x:v>
      </x:c>
    </x:row>
    <x:row r="10">
      <x:c r="A10" s="26" t="str">
        <x:v>SRC-009</x:v>
      </x:c>
      <x:c r="B10" s="26" t="str">
        <x:v>USPTO MPEP</x:v>
      </x:c>
      <x:c r="C10" s="26" t="str">
        <x:v>MPEP § 211.05 - Sufficiency of Disclosure in Prior-Filed Application</x:v>
      </x:c>
      <x:c r="D10" s="26" t="str">
        <x:v>Rev. 01.2024 / current site</x:v>
      </x:c>
      <x:c r="E10" s="26" t="str">
        <x:v>Primary agency manual</x:v>
      </x:c>
      <x:c r="F10" s="26" t="str">
        <x:v>Later claims obtain provisional-date benefit only where the provisional adequately supports and enables the claimed subject matter under §112(a).</x:v>
      </x:c>
      <x:c r="G10" s="26" t="str">
        <x:v>Use for claim-support matrix and priority analysis</x:v>
      </x:c>
      <x:c r="H10" s="26" t="str">
        <x:v>Indexed</x:v>
      </x:c>
      <x:c r="I10" s="26" t="str">
        <x:v>https://www.uspto.gov/web/offices/pac/mpep/s211.html</x:v>
      </x:c>
    </x:row>
    <x:row r="11">
      <x:c r="A11" s="26" t="str">
        <x:v>SRC-010</x:v>
      </x:c>
      <x:c r="B11" s="26" t="str">
        <x:v>USPTO MPEP</x:v>
      </x:c>
      <x:c r="C11" s="26" t="str">
        <x:v>MPEP § 608.04 - New Matter</x:v>
      </x:c>
      <x:c r="D11" s="26" t="str">
        <x:v>Current site</x:v>
      </x:c>
      <x:c r="E11" s="26" t="str">
        <x:v>Primary agency manual</x:v>
      </x:c>
      <x:c r="F11" s="26" t="str">
        <x:v>No substantive amendment may add new matter; MPEP notes no amendment is permitted in a provisional after it receives a filing date.</x:v>
      </x:c>
      <x:c r="G11" s="26" t="str">
        <x:v>Use for post-filing change-control rule</x:v>
      </x:c>
      <x:c r="H11" s="26" t="str">
        <x:v>Indexed</x:v>
      </x:c>
      <x:c r="I11" s="26" t="str">
        <x:v>https://www.uspto.gov/web/offices/pac/mpep/s608.html</x:v>
      </x:c>
    </x:row>
    <x:row r="12">
      <x:c r="A12" s="26" t="str">
        <x:v>SRC-011</x:v>
      </x:c>
      <x:c r="B12" s="26" t="str">
        <x:v>USPTO MPEP</x:v>
      </x:c>
      <x:c r="C12" s="26" t="str">
        <x:v>MPEP § 2163.06 - Written Description / New Matter</x:v>
      </x:c>
      <x:c r="D12" s="26" t="str">
        <x:v>Current site</x:v>
      </x:c>
      <x:c r="E12" s="26" t="str">
        <x:v>Primary agency manual</x:v>
      </x:c>
      <x:c r="F12" s="26" t="str">
        <x:v>Later-added subject matter must be supported by the originally filed specification, claims, or drawings to avoid new-matter/written-description problems.</x:v>
      </x:c>
      <x:c r="G12" s="26" t="str">
        <x:v>Use for disclosure-support audit</x:v>
      </x:c>
      <x:c r="H12" s="26" t="str">
        <x:v>Indexed</x:v>
      </x:c>
      <x:c r="I12" s="26" t="str">
        <x:v>https://www.uspto.gov/web/offices/pac/mpep/s2163.html</x:v>
      </x:c>
    </x:row>
    <x:row r="13">
      <x:c r="A13" s="26" t="str">
        <x:v>SRC-012</x:v>
      </x:c>
      <x:c r="B13" s="26" t="str">
        <x:v>USPTO / 37 CFR</x:v>
      </x:c>
      <x:c r="C13" s="26" t="str">
        <x:v>37 CFR 1.78(a) - Benefit of one or more prior-filed provisional applications</x:v>
      </x:c>
      <x:c r="D13" s="26" t="str">
        <x:v>July 2026 rules</x:v>
      </x:c>
      <x:c r="E13" s="26" t="str">
        <x:v>Primary regulation</x:v>
      </x:c>
      <x:c r="F13" s="26" t="str">
        <x:v>A later nonprovisional may claim benefit of one or more prior-filed provisionals subject to timing, inventor, reference, filing-date, fee, and support requirements.</x:v>
      </x:c>
      <x:c r="G13" s="26" t="str">
        <x:v>Use for supplemental-provisional strategy</x:v>
      </x:c>
      <x:c r="H13" s="26" t="str">
        <x:v>Indexed</x:v>
      </x:c>
      <x:c r="I13" s="26" t="str">
        <x:v>https://www.uspto.gov/web/offices/pac/mpep/consolidated_rules.pdf</x:v>
      </x:c>
    </x:row>
    <x:row r="14">
      <x:c r="A14" s="26" t="str">
        <x:v>SRC-013</x:v>
      </x:c>
      <x:c r="B14" s="26" t="str">
        <x:v>USPTO</x:v>
      </x:c>
      <x:c r="C14" s="26" t="str">
        <x:v>Provisional Application for Patent</x:v>
      </x:c>
      <x:c r="D14" s="26" t="str">
        <x:v>Current</x:v>
      </x:c>
      <x:c r="E14" s="26" t="str">
        <x:v>Primary agency guidance</x:v>
      </x:c>
      <x:c r="F14" s="26" t="str">
        <x:v>Claims not required; disclosure should be as complete as possible; later claimed subject matter must be supported; substantive amendments not permitted after filing.</x:v>
      </x:c>
      <x:c r="G14" s="26" t="str">
        <x:v>Use as filing-strategy authority</x:v>
      </x:c>
      <x:c r="H14" s="26" t="str">
        <x:v>Indexed</x:v>
      </x:c>
      <x:c r="I14" s="26" t="str">
        <x:v>https://www.uspto.gov/patents/basics/apply/provisional-application</x:v>
      </x:c>
    </x:row>
    <x:row r="15">
      <x:c r="A15" s="26" t="str">
        <x:v>SRC-014</x:v>
      </x:c>
      <x:c r="B15" s="26" t="str">
        <x:v>USPTO MPEP</x:v>
      </x:c>
      <x:c r="C15" s="26" t="str">
        <x:v>MPEP § 2163 - Written Description</x:v>
      </x:c>
      <x:c r="D15" s="26" t="str">
        <x:v>Current</x:v>
      </x:c>
      <x:c r="E15" s="26" t="str">
        <x:v>Primary agency manual</x:v>
      </x:c>
      <x:c r="F15" s="26" t="str">
        <x:v>Genus support may require representative species/common identifying characteristics; a laundry-list disclosure may not support later-selected species/subgenera.</x:v>
      </x:c>
      <x:c r="G15" s="26" t="str">
        <x:v>Use to design Broad Disclosure Matrix</x:v>
      </x:c>
      <x:c r="H15" s="26" t="str">
        <x:v>Indexed</x:v>
      </x:c>
      <x:c r="I15" s="26" t="str">
        <x:v>https://www.uspto.gov/web/offices/pac/mpep/s2163.html</x:v>
      </x:c>
    </x:row>
    <x:row r="16">
      <x:c r="A16" s="26" t="str">
        <x:v>SRC-015</x:v>
      </x:c>
      <x:c r="B16" s="26" t="str">
        <x:v>USPTO MPEP</x:v>
      </x:c>
      <x:c r="C16" s="26" t="str">
        <x:v>MPEP § 2164 - Enablement</x:v>
      </x:c>
      <x:c r="D16" s="26" t="str">
        <x:v>Current</x:v>
      </x:c>
      <x:c r="E16" s="26" t="str">
        <x:v>Primary agency manual</x:v>
      </x:c>
      <x:c r="F16" s="26" t="str">
        <x:v>Enablement must reach the intended scope without undue experimentation; breadth and amount of guidance/examples matter.</x:v>
      </x:c>
      <x:c r="G16" s="26" t="str">
        <x:v>Use to audit broad pest/lethal-means scope</x:v>
      </x:c>
      <x:c r="H16" s="26" t="str">
        <x:v>Indexed</x:v>
      </x:c>
      <x:c r="I16" s="26" t="str">
        <x:v>https://www.uspto.gov/web/offices/pac/mpep/s2164.html</x:v>
      </x:c>
    </x:row>
    <x:row r="17">
      <x:c r="A17" s="26" t="str">
        <x:v>SRC-016</x:v>
      </x:c>
      <x:c r="B17" s="26" t="str">
        <x:v>USDA APHIS</x:v>
      </x:c>
      <x:c r="C17" s="26" t="str">
        <x:v>Feral Swine: Managing an Invasive Species</x:v>
      </x:c>
      <x:c r="D17" s="26" t="str">
        <x:v>2026</x:v>
      </x:c>
      <x:c r="E17" s="26" t="str">
        <x:v>Primary agency technical guidance</x:v>
      </x:c>
      <x:c r="F17" s="26" t="str">
        <x:v>Whole-sounder trapping is a current common technique; management is integrated and depends on landscape, behavior, density, and regulations.</x:v>
      </x:c>
      <x:c r="G17" s="26" t="str">
        <x:v>Use as technical/background source</x:v>
      </x:c>
      <x:c r="H17" s="26" t="str">
        <x:v>Indexed</x:v>
      </x:c>
      <x:c r="I17" s="26" t="str">
        <x:v>https://www.aphis.usda.gov/operational-wildlife-activities/feral-swine</x:v>
      </x:c>
    </x:row>
    <x:row r="18">
      <x:c r="A18" s="26" t="str">
        <x:v>SRC-017</x:v>
      </x:c>
      <x:c r="B18" s="26" t="str">
        <x:v>USDA APHIS</x:v>
      </x:c>
      <x:c r="C18" s="26" t="str">
        <x:v>Feral Swine Damage Management - National EIS</x:v>
      </x:c>
      <x:c r="D18" s="26" t="str">
        <x:v>2015</x:v>
      </x:c>
      <x:c r="E18" s="26" t="str">
        <x:v>Primary agency technical/environmental source</x:v>
      </x:c>
      <x:c r="F18" s="26" t="str">
        <x:v>Remote video systems can monitor animals in trap areas and remote users can activate traps after desired numbers enter; non-target risk reduction is recognized.</x:v>
      </x:c>
      <x:c r="G18" s="26" t="str">
        <x:v>Use as concrete remote-control/trapping background</x:v>
      </x:c>
      <x:c r="H18" s="26" t="str">
        <x:v>Indexed</x:v>
      </x:c>
      <x:c r="I18" s="26" t="str">
        <x:v>https://www.aphis.usda.gov/sites/default/files/us-2015-fs-damage-mgt-a-national-approach-eis.pdf</x:v>
      </x:c>
    </x:row>
    <x:row r="19">
      <x:c r="A19" s="26" t="str">
        <x:v>SRC-018</x:v>
      </x:c>
      <x:c r="B19" s="26" t="str">
        <x:v>USDA APHIS</x:v>
      </x:c>
      <x:c r="C19" s="26" t="str">
        <x:v>Wildlife Damage Management Technical Series - Feral Swine</x:v>
      </x:c>
      <x:c r="D19" s="26" t="str">
        <x:v>2020</x:v>
      </x:c>
      <x:c r="E19" s="26" t="str">
        <x:v>Primary agency technical guide</x:v>
      </x:c>
      <x:c r="F19" s="26" t="str">
        <x:v>Remote monitoring/activation can allow desired numbers of feral swine to enter before closure and prevent non-target captures.</x:v>
      </x:c>
      <x:c r="G19" s="26" t="str">
        <x:v>Use as sounder/trapping implementation context</x:v>
      </x:c>
      <x:c r="H19" s="26" t="str">
        <x:v>Indexed</x:v>
      </x:c>
      <x:c r="I19" s="26" t="str">
        <x:v>https://direct.aphis.usda.gov/sites/default/files/Feral%20Swine_WDM%20Technical%20Series_August%202020.pdf</x:v>
      </x:c>
    </x:row>
    <x:row r="20">
      <x:c r="A20" s="26" t="str">
        <x:v>SRC-019</x:v>
      </x:c>
      <x:c r="B20" s="26" t="str">
        <x:v>US EPA</x:v>
      </x:c>
      <x:c r="C20" s="26" t="str">
        <x:v>KAPUT FERAL HOG BAIT - EPA Reg. No. 72500-26</x:v>
      </x:c>
      <x:c r="D20" s="26" t="str">
        <x:v>2017/2018; registration record current</x:v>
      </x:c>
      <x:c r="E20" s="26" t="str">
        <x:v>Primary regulatory source</x:v>
      </x:c>
      <x:c r="F20" s="26" t="str">
        <x:v>Example of a federally registered feral-hog toxicant product; deployment remains label- and jurisdiction-controlled.</x:v>
      </x:c>
      <x:c r="G20" s="26" t="str">
        <x:v>Use only as regulatory/example reference, not as formulation instruction</x:v>
      </x:c>
      <x:c r="H20" s="26" t="str">
        <x:v>Indexed</x:v>
      </x:c>
      <x:c r="I20" s="26" t="str">
        <x:v>https://ordspub.epa.gov/ords/pesticides/f?p=PPLS:8:::NO::P8_PUID:519508</x:v>
      </x:c>
    </x:row>
    <x:row r="21">
      <x:c r="A21" s="26" t="str">
        <x:v>SRC-020</x:v>
      </x:c>
      <x:c r="B21" s="26" t="str">
        <x:v>Patent publication</x:v>
      </x:c>
      <x:c r="C21" s="26" t="str">
        <x:v>US20210315186A1 - USDA dual sensory species-specific recognition trigger system</x:v>
      </x:c>
      <x:c r="D21" s="26" t="str">
        <x:v>2021</x:v>
      </x:c>
      <x:c r="E21" s="26" t="str">
        <x:v>Primary patent document</x:v>
      </x:c>
      <x:c r="F21" s="26" t="str">
        <x:v>Feral swine audio/video recognition, target quantity estimation, fusion, and wildlife-device triggering create material prior-art risk.</x:v>
      </x:c>
      <x:c r="G21" s="26" t="str">
        <x:v>Claim-chart; use to avoid novelty assumptions</x:v>
      </x:c>
      <x:c r="H21" s="26" t="str">
        <x:v>Indexed</x:v>
      </x:c>
      <x:c r="I21" s="26" t="str">
        <x:v>https://patents.google.com/patent/US20210315186A1/en</x:v>
      </x:c>
    </x:row>
    <x:row r="22">
      <x:c r="A22" s="26" t="str">
        <x:v>SRC-021</x:v>
      </x:c>
      <x:c r="B22" s="26" t="str">
        <x:v>Patent publication</x:v>
      </x:c>
      <x:c r="C22" s="26" t="str">
        <x:v>US20140261201A1 / related species-specific feeder family</x:v>
      </x:c>
      <x:c r="D22" s="26" t="str">
        <x:v>2014</x:v>
      </x:c>
      <x:c r="E22" s="26" t="str">
        <x:v>Primary patent document</x:v>
      </x:c>
      <x:c r="F22" s="26" t="str">
        <x:v>Species recognition, selective feeder access, poison/population-control composition, and local wild-boar population control are prior-art risks.</x:v>
      </x:c>
      <x:c r="G22" s="26" t="str">
        <x:v>Claim-chart; distinguish group-state/completeness logic</x:v>
      </x:c>
      <x:c r="H22" s="26" t="str">
        <x:v>Indexed</x:v>
      </x:c>
      <x:c r="I22" s="26" t="str">
        <x:v>https://patents.google.com/patent/US20140261201A1/en</x:v>
      </x:c>
    </x:row>
    <x:row r="23">
      <x:c r="A23" s="26" t="str">
        <x:v>SRC-022</x:v>
      </x:c>
      <x:c r="B23" s="26" t="str">
        <x:v>USPTO MPEP</x:v>
      </x:c>
      <x:c r="C23" s="26" t="str">
        <x:v>MPEP § 2111.03 - Transitional Phrases</x:v>
      </x:c>
      <x:c r="D23" s="26" t="str">
        <x:v>Current</x:v>
      </x:c>
      <x:c r="E23" s="26" t="str">
        <x:v>Primary agency manual</x:v>
      </x:c>
      <x:c r="F23" s="26" t="str">
        <x:v>"Comprising" is open-ended and permits additional unrecited elements or method steps.</x:v>
      </x:c>
      <x:c r="G23" s="26" t="str">
        <x:v>Use for open-ended independent-claim drafting</x:v>
      </x:c>
      <x:c r="H23" s="26" t="str">
        <x:v>Indexed</x:v>
      </x:c>
      <x:c r="I23" s="26" t="str">
        <x:v>https://www.uspto.gov/web/offices/pac/mpep/s2111.html</x:v>
      </x:c>
    </x:row>
    <x:row r="24">
      <x:c r="A24" s="26" t="str">
        <x:v>SRC-023</x:v>
      </x:c>
      <x:c r="B24" s="26" t="str">
        <x:v>USPTO MPEP</x:v>
      </x:c>
      <x:c r="C24" s="26" t="str">
        <x:v>MPEP § 608.01(n) - Dependent Claims</x:v>
      </x:c>
      <x:c r="D24" s="26" t="str">
        <x:v>Current</x:v>
      </x:c>
      <x:c r="E24" s="26" t="str">
        <x:v>Primary agency manual</x:v>
      </x:c>
      <x:c r="F24" s="26" t="str">
        <x:v>Dependent claims must further limit the parent; multiple dependent claims have special alternative-reference and fee rules.</x:v>
      </x:c>
      <x:c r="G24" s="26" t="str">
        <x:v>Use singly dependent claims in the working universe for clean dependency and later pruning</x:v>
      </x:c>
      <x:c r="H24" s="26" t="str">
        <x:v>Indexed</x:v>
      </x:c>
      <x:c r="I24" s="26" t="str">
        <x:v>https://www.uspto.gov/web/offices/pac/mpep/s608.html</x:v>
      </x:c>
    </x:row>
    <x:row r="25">
      <x:c r="A25" s="26" t="str">
        <x:v>SRC-024</x:v>
      </x:c>
      <x:c r="B25" s="26" t="str">
        <x:v>USPTO MPEP</x:v>
      </x:c>
      <x:c r="C25" s="26" t="str">
        <x:v>MPEP § 2173.05(g) - Functional Limitations</x:v>
      </x:c>
      <x:c r="D25" s="26" t="str">
        <x:v>Current</x:v>
      </x:c>
      <x:c r="E25" s="26" t="str">
        <x:v>Primary agency manual</x:v>
      </x:c>
      <x:c r="F25" s="26" t="str">
        <x:v>Functional language is not inherently improper, but claim boundaries must remain reasonably clear.</x:v>
      </x:c>
      <x:c r="G25" s="26" t="str">
        <x:v>Audit 'configured to', authorization, recognition, and population-state limitations</x:v>
      </x:c>
      <x:c r="H25" s="26" t="str">
        <x:v>Indexed</x:v>
      </x:c>
      <x:c r="I25" s="26" t="str">
        <x:v>https://www.uspto.gov/web/offices/pac/mpep/s2173.html</x:v>
      </x:c>
    </x:row>
    <x:row r="26">
      <x:c r="A26" s="26" t="str">
        <x:v>SRC-025</x:v>
      </x:c>
      <x:c r="B26" s="26" t="str">
        <x:v>USPTO MPEP</x:v>
      </x:c>
      <x:c r="C26" s="26" t="str">
        <x:v>MPEP § 2181 - 35 U.S.C. 112(f)</x:v>
      </x:c>
      <x:c r="D26" s="26" t="str">
        <x:v>Current</x:v>
      </x:c>
      <x:c r="E26" s="26" t="str">
        <x:v>Primary agency manual</x:v>
      </x:c>
      <x:c r="F26" s="26" t="str">
        <x:v>Generic placeholders coupled to function can invoke §112(f); adequate corresponding structure/acts are then required.</x:v>
      </x:c>
      <x:c r="G26" s="26" t="str">
        <x:v>Avoid unintended means-plus-function treatment; ensure software/actuator structure is disclosed</x:v>
      </x:c>
      <x:c r="H26" s="26" t="str">
        <x:v>Indexed</x:v>
      </x:c>
      <x:c r="I26" s="26" t="str">
        <x:v>https://www.uspto.gov/web/offices/pac/mpep/s2181.html</x:v>
      </x:c>
    </x:row>
    <x:row r="27">
      <x:c r="A27" s="26" t="str">
        <x:v>SRC-026</x:v>
      </x:c>
      <x:c r="B27" s="26" t="str">
        <x:v>USPTO MPEP</x:v>
      </x:c>
      <x:c r="C27" s="26" t="str">
        <x:v>MPEP §§ 2163-2164 - Written Description and Enablement</x:v>
      </x:c>
      <x:c r="D27" s="26" t="str">
        <x:v>Current</x:v>
      </x:c>
      <x:c r="E27" s="26" t="str">
        <x:v>Primary agency manual</x:v>
      </x:c>
      <x:c r="F27" s="26" t="str">
        <x:v>Broad genus claims require adequate possession and enablement; representative examples and common characteristics are important for broad scope.</x:v>
      </x:c>
      <x:c r="G27" s="26" t="str">
        <x:v>Drive comprehensive technical disclosure across all claim families</x:v>
      </x:c>
      <x:c r="H27" s="26" t="str">
        <x:v>Indexed</x:v>
      </x:c>
      <x:c r="I27" s="26" t="str">
        <x:v>https://www.uspto.gov/web/offices/pac/mpep/s2163.html</x:v>
      </x:c>
    </x:row>
    <x:row r="28">
      <x:c r="A28" s="26" t="str">
        <x:v>SRC-027</x:v>
      </x:c>
      <x:c r="B28" s="26" t="str">
        <x:v>US EPA</x:v>
      </x:c>
      <x:c r="C28" s="26" t="str">
        <x:v>KAPUT FERAL HOG BAIT - EPA Reg. No. 72500-26</x:v>
      </x:c>
      <x:c r="D28" s="26" t="str">
        <x:v>Current registration page</x:v>
      </x:c>
      <x:c r="E28" s="26" t="str">
        <x:v>Primary regulatory source</x:v>
      </x:c>
      <x:c r="F28" s="26" t="str">
        <x:v>Concrete named feral-hog toxicant example: warfarin 0.005%; shows a predetermined toxic active ingredient can be claimed separately from species-selective toxicity.</x:v>
      </x:c>
      <x:c r="G28" s="26" t="str">
        <x:v>Support specified-toxicant embodiment; do not infer legal use beyond current label</x:v>
      </x:c>
      <x:c r="H28" s="26" t="str">
        <x:v>Indexed</x:v>
      </x:c>
      <x:c r="I28" s="26" t="str">
        <x:v>https://ordspub.epa.gov/ords/pesticides/f?p=PPLS:8:::NO::P8_PUID:519508</x:v>
      </x:c>
    </x:row>
    <x:row r="29">
      <x:c r="A29" s="26" t="str">
        <x:v>SRC-028</x:v>
      </x:c>
      <x:c r="B29" s="26" t="str">
        <x:v>EPA HERO / published study</x:v>
      </x:c>
      <x:c r="C29" s="26" t="str">
        <x:v>Encapsulated sodium nitrite as feral-pig management tool</x:v>
      </x:c>
      <x:c r="D29" s="26" t="str">
        <x:v>Published study indexed by EPA</x:v>
      </x:c>
      <x:c r="E29" s="26" t="str">
        <x:v>Primary technical-literature index</x:v>
      </x:c>
      <x:c r="F29" s="26" t="str">
        <x:v>Concrete sodium-nitrite feral-pig toxicant example for specification support; efficacy/registration status must be treated by jurisdiction and current authorization.</x:v>
      </x:c>
      <x:c r="G29" s="26" t="str">
        <x:v>Use as named-agent technical example, not as operational dosing instruction</x:v>
      </x:c>
      <x:c r="H29" s="26" t="str">
        <x:v>Indexed</x:v>
      </x:c>
      <x:c r="I29" s="26" t="str">
        <x:v>https://hero.epa.gov/reference/4132538/</x:v>
      </x:c>
    </x:row>
    <x:row r="30">
      <x:c r="A30" s="26" t="str">
        <x:v>SRC-029</x:v>
      </x:c>
      <x:c r="B30" s="26" t="str">
        <x:v>USDA APHIS NWRC</x:v>
      </x:c>
      <x:c r="C30" s="26" t="str">
        <x:v>Population Management / Reproductive Control</x:v>
      </x:c>
      <x:c r="D30" s="26" t="str">
        <x:v>Current 2026 page</x:v>
      </x:c>
      <x:c r="E30" s="26" t="str">
        <x:v>Primary agency technical source</x:v>
      </x:c>
      <x:c r="F30" s="26" t="str">
        <x:v>GonaCon/GnRH immunocontraceptive has been tested in domestic and feral swine; useful representative reproductive-control embodiment while current product authorization remains species/use specific.</x:v>
      </x:c>
      <x:c r="G30" s="26" t="str">
        <x:v>Use as reproductive-control technical example; verify current label before any deployment statement</x:v>
      </x:c>
      <x:c r="H30" s="26" t="str">
        <x:v>Indexed</x:v>
      </x:c>
      <x:c r="I30" s="26" t="str">
        <x:v>https://www.aphis.usda.gov/national-wildlife-programs/nwrc/research-areas/reproductive-control</x:v>
      </x:c>
    </x:row>
    <x:row r="31">
      <x:c r="A31" s="26" t="str">
        <x:v>SRC-030</x:v>
      </x:c>
      <x:c r="B31" s="26" t="str">
        <x:v>US EPA</x:v>
      </x:c>
      <x:c r="C31" s="26" t="str">
        <x:v>KAPUT FERAL HOG BAIT - EPA Reg. No. 72500-26</x:v>
      </x:c>
      <x:c r="D31" s="26" t="str">
        <x:v>Registration record current; label accepted 2018</x:v>
      </x:c>
      <x:c r="E31" s="26" t="str">
        <x:v>Primary regulatory source</x:v>
      </x:c>
      <x:c r="F31" s="26" t="str">
        <x:v>EPA lists product as registered; active ingredient warfarin 0.005%; supports named-product embodiment.</x:v>
      </x:c>
      <x:c r="G31" s="26" t="str">
        <x:v>Use technical identity with trade name; verify current label/status at filing and deployment</x:v>
      </x:c>
      <x:c r="H31" s="26" t="str">
        <x:v>Indexed</x:v>
      </x:c>
      <x:c r="I31" s="26" t="str">
        <x:v>https://ordspub.epa.gov/ords/pesticides/f?p=PPLS:8:::NO::P8_PUID:519508</x:v>
      </x:c>
    </x:row>
    <x:row r="32">
      <x:c r="A32" s="26" t="str">
        <x:v>SRC-031</x:v>
      </x:c>
      <x:c r="B32" s="26" t="str">
        <x:v>US EPA</x:v>
      </x:c>
      <x:c r="C32" s="26" t="str">
        <x:v>KAPUT FERAL HOG BAIT label - EPA Reg. No. 72500-26</x:v>
      </x:c>
      <x:c r="D32" s="26" t="str">
        <x:v>2018-04-05</x:v>
      </x:c>
      <x:c r="E32" s="26" t="str">
        <x:v>Primary regulatory label</x:v>
      </x:c>
      <x:c r="F32" s="26" t="str">
        <x:v>Defines KAPUT product composition and labeling; warfarin 0.005%.</x:v>
      </x:c>
      <x:c r="G32" s="26" t="str">
        <x:v>Use as fixed technical identification, not as authorization beyond label/jurisdiction</x:v>
      </x:c>
      <x:c r="H32" s="26" t="str">
        <x:v>Indexed</x:v>
      </x:c>
      <x:c r="I32" s="26" t="str">
        <x:v>https://www3.epa.gov/pesticides/chem_search/ppls/072500-00026-20180405.pdf</x:v>
      </x:c>
    </x:row>
    <x:row r="33">
      <x:c r="A33" s="26" t="str">
        <x:v>SRC-032</x:v>
      </x:c>
      <x:c r="B33" s="26" t="str">
        <x:v>USDA APHIS</x:v>
      </x:c>
      <x:c r="C33" s="26" t="str">
        <x:v>Wildlife Damage Management Technical Series - Feral Swine</x:v>
      </x:c>
      <x:c r="D33" s="26" t="str">
        <x:v>2020</x:v>
      </x:c>
      <x:c r="E33" s="26" t="str">
        <x:v>Primary agency technical guide</x:v>
      </x:c>
      <x:c r="F33" s="26" t="str">
        <x:v>Describes commonly used bait, olfactory attractants, pre-baiting/trapping, remote control, and non-target/regulatory considerations.</x:v>
      </x:c>
      <x:c r="G33" s="26" t="str">
        <x:v>Use for attraction/conditioning/trough representative disclosure</x:v>
      </x:c>
      <x:c r="H33" s="26" t="str">
        <x:v>Indexed</x:v>
      </x:c>
      <x:c r="I33" s="26" t="str">
        <x:v>https://www.aphis.usda.gov/sites/default/files/Feral%20Swine_WDM%20Technical%20Series_August%202020.pdf</x:v>
      </x:c>
    </x:row>
    <x:row r="34">
      <x:c r="A34" s="26" t="str">
        <x:v>SRC-033</x:v>
      </x:c>
      <x:c r="B34" s="26" t="str">
        <x:v>USDA APHIS</x:v>
      </x:c>
      <x:c r="C34" s="26" t="str">
        <x:v>HOGGONE 2 sodium nitrite field evaluation EA</x:v>
      </x:c>
      <x:c r="D34" s="26" t="str">
        <x:v>2019</x:v>
      </x:c>
      <x:c r="E34" s="26" t="str">
        <x:v>Primary agency research/environmental source</x:v>
      </x:c>
      <x:c r="F34" s="26" t="str">
        <x:v>Describes prebaiting and back-to-back trough-type bait station design in research context; useful technical evidence for trough/conditioning embodiments.</x:v>
      </x:c>
      <x:c r="G34" s="26" t="str">
        <x:v>Use as representative prior-art/context source; do not copy operational toxicant dosing</x:v>
      </x:c>
      <x:c r="H34" s="26" t="str">
        <x:v>Indexed</x:v>
      </x:c>
      <x:c r="I34" s="26" t="str">
        <x:v>https://www.aphis.usda.gov/sites/default/files/al-2019-sodium-nitrite-feral-swine-final-ea.pdf</x:v>
      </x:c>
    </x:row>
    <x:row r="35">
      <x:c r="A35" s="26" t="str">
        <x:v>SRC-034</x:v>
      </x:c>
      <x:c r="B35" s="26" t="str">
        <x:v>USPTO MPEP</x:v>
      </x:c>
      <x:c r="C35" s="26" t="str">
        <x:v>MPEP §608.01(v) - Marks Used in Commerce and Trade Names</x:v>
      </x:c>
      <x:c r="D35" s="26" t="str">
        <x:v>Current</x:v>
      </x:c>
      <x:c r="E35" s="26" t="str">
        <x:v>Primary agency manual</x:v>
      </x:c>
      <x:c r="F35" s="26" t="str">
        <x:v>A mark/trade name should be accompanied by sufficiently definite technical identification where characteristics matter to §112 support.</x:v>
      </x:c>
      <x:c r="G35" s="26" t="str">
        <x:v>Use KAPUT together with EPA registration number, active ingredient, and technical description</x:v>
      </x:c>
      <x:c r="H35" s="26" t="str">
        <x:v>Indexed</x:v>
      </x:c>
      <x:c r="I35" s="26" t="str">
        <x:v>https://www.uspto.gov/web/offices/pac/mpep/s608.html</x:v>
      </x:c>
    </x:row>
    <x:row r="36">
      <x:c r="A36" s="26" t="str">
        <x:v>SRC-035</x:v>
      </x:c>
      <x:c r="B36" s="26" t="str">
        <x:v>USPTO MPEP</x:v>
      </x:c>
      <x:c r="C36" s="26" t="str">
        <x:v>MPEP §2163 - Written Description</x:v>
      </x:c>
      <x:c r="D36" s="26" t="str">
        <x:v>Current R-01.2024</x:v>
      </x:c>
      <x:c r="E36" s="26" t="str">
        <x:v>Primary agency manual</x:v>
      </x:c>
      <x:c r="F36" s="26" t="str">
        <x:v>Written description asks whether the filing shows possession; genus claims may require representative species or common identifying characteristics.</x:v>
      </x:c>
      <x:c r="G36" s="26" t="str">
        <x:v>Use as §112(a) genus/support drafting control</x:v>
      </x:c>
      <x:c r="H36" s="26" t="str">
        <x:v>Indexed</x:v>
      </x:c>
      <x:c r="I36" s="26" t="str">
        <x:v>https://www.uspto.gov/web/offices/pac/mpep/s2163.html</x:v>
      </x:c>
    </x:row>
    <x:row r="37">
      <x:c r="A37" s="26" t="str">
        <x:v>SRC-036</x:v>
      </x:c>
      <x:c r="B37" s="26" t="str">
        <x:v>USPTO MPEP</x:v>
      </x:c>
      <x:c r="C37" s="26" t="str">
        <x:v>MPEP §2164 - Enablement</x:v>
      </x:c>
      <x:c r="D37" s="26" t="str">
        <x:v>Current R-01.2024</x:v>
      </x:c>
      <x:c r="E37" s="26" t="str">
        <x:v>Primary agency manual</x:v>
      </x:c>
      <x:c r="F37" s="26" t="str">
        <x:v>Enablement must reach intended claim scope without undue experimentation; breadth, guidance, working/prophetic examples and predictability matter.</x:v>
      </x:c>
      <x:c r="G37" s="26" t="str">
        <x:v>Use as full-scope enablement control</x:v>
      </x:c>
      <x:c r="H37" s="26" t="str">
        <x:v>Indexed</x:v>
      </x:c>
      <x:c r="I37" s="26" t="str">
        <x:v>https://www.uspto.gov/web/offices/pac/mpep/s2164.html</x:v>
      </x:c>
    </x:row>
    <x:row r="38">
      <x:c r="A38" s="26" t="str">
        <x:v>SRC-037</x:v>
      </x:c>
      <x:c r="B38" s="26" t="str">
        <x:v>USDA APHIS NWRC</x:v>
      </x:c>
      <x:c r="C38" s="26" t="str">
        <x:v>Population Management / Reproductive Control</x:v>
      </x:c>
      <x:c r="D38" s="26" t="str">
        <x:v>2026</x:v>
      </x:c>
      <x:c r="E38" s="26" t="str">
        <x:v>Primary agency technical source</x:v>
      </x:c>
      <x:c r="F38" s="26" t="str">
        <x:v>GnRH/GonaCon, PZP and diazacon are representative wildlife reproductive-control classes; USDA reports GonaCon studies in domestic and feral swine and research on oral/nasal GnRH delivery.</x:v>
      </x:c>
      <x:c r="G38" s="26" t="str">
        <x:v>Use as representative reproductive-control technical context; verify current product authorization separately</x:v>
      </x:c>
      <x:c r="H38" s="26" t="str">
        <x:v>Indexed</x:v>
      </x:c>
      <x:c r="I38" s="26" t="str">
        <x:v>https://www.aphis.usda.gov/national-wildlife-programs/nwrc/research-areas/reproductive-control</x:v>
      </x:c>
    </x:row>
    <x:row r="39">
      <x:c r="A39" s="26" t="str">
        <x:v>SRC-038</x:v>
      </x:c>
      <x:c r="B39" s="26" t="str">
        <x:v>Published feral-swine research</x:v>
      </x:c>
      <x:c r="C39" s="26" t="str">
        <x:v>Bait Preference of Free-Ranging Feral Swine for Delivery of a Novel Toxicant</x:v>
      </x:c>
      <x:c r="D39" s="26" t="str">
        <x:v>2016</x:v>
      </x:c>
      <x:c r="E39" s="26" t="str">
        <x:v>Peer-reviewed technical literature</x:v>
      </x:c>
      <x:c r="F39" s="26" t="str">
        <x:v>Sodium nitrite feral-swine research; supports bait-attraction and differential-susceptibility context while recognizing non-target risk.</x:v>
      </x:c>
      <x:c r="G39" s="26" t="str">
        <x:v>Use as technical example; do not characterize sodium nitrite as exclusively pig-specific</x:v>
      </x:c>
      <x:c r="H39" s="26" t="str">
        <x:v>Indexed</x:v>
      </x:c>
      <x:c r="I39" s="26" t="str">
        <x:v>https://pmc.ncbi.nlm.nih.gov/articles/PMC4727921/</x:v>
      </x:c>
    </x:row>
    <x:row r="40">
      <x:c r="A40" s="26" t="str">
        <x:v>SRC-039</x:v>
      </x:c>
      <x:c r="B40" s="26" t="str">
        <x:v>Review literature</x:v>
      </x:c>
      <x:c r="C40" s="26" t="str">
        <x:v>Manipulating the Destiny of Wild Populations Using CRISPR</x:v>
      </x:c>
      <x:c r="D40" s="26" t="str">
        <x:v>2023</x:v>
      </x:c>
      <x:c r="E40" s="26" t="str">
        <x:v>Peer-reviewed review</x:v>
      </x:c>
      <x:c r="F40" s="26" t="str">
        <x:v>Genetic biocontrol literature includes population suppression/modification concepts such as fertility effects, inheritance bias and sex-ratio approaches; vertebrate application remains technically challenging.</x:v>
      </x:c>
      <x:c r="G40" s="26" t="str">
        <x:v>Use only as background/representative public-art context; inventor conception still required for filing support</x:v>
      </x:c>
      <x:c r="H40" s="26" t="str">
        <x:v>Indexed</x:v>
      </x:c>
      <x:c r="I40" s="26" t="str">
        <x:v>https://pmc.ncbi.nlm.nih.gov/articles/PMC11064769/</x:v>
      </x:c>
    </x:row>
    <x:row r="41">
      <x:c r="A41" s="26" t="str">
        <x:v>SRC-040</x:v>
      </x:c>
      <x:c r="B41" s="26" t="str">
        <x:v>USPTO MPEP</x:v>
      </x:c>
      <x:c r="C41" s="26" t="str">
        <x:v>MPEP §2173 - Definiteness / functional limitations</x:v>
      </x:c>
      <x:c r="D41" s="26" t="str">
        <x:v>Current; page last modified 2026-03-09</x:v>
      </x:c>
      <x:c r="E41" s="26" t="str">
        <x:v>Primary agency manual</x:v>
      </x:c>
      <x:c r="F41" s="26" t="str">
        <x:v>Functional language is permissible but boundaries must be clear in context; claims should not state only an unbounded result.</x:v>
      </x:c>
      <x:c r="G41" s="26" t="str">
        <x:v>Use to define population-completeness, authorization and veto terms with concrete states/acts.</x:v>
      </x:c>
      <x:c r="H41" s="26" t="str">
        <x:v>Indexed</x:v>
      </x:c>
      <x:c r="I41" s="26" t="str">
        <x:v>https://www.uspto.gov/web/offices/pac/mpep/s2173.html</x:v>
      </x:c>
    </x:row>
    <x:row r="42">
      <x:c r="A42" s="26" t="str">
        <x:v>SRC-041</x:v>
      </x:c>
      <x:c r="B42" s="26" t="str">
        <x:v>USPTO MPEP</x:v>
      </x:c>
      <x:c r="C42" s="26" t="str">
        <x:v>MPEP §2181 - §112(f) identification and support</x:v>
      </x:c>
      <x:c r="D42" s="26" t="str">
        <x:v>Current</x:v>
      </x:c>
      <x:c r="E42" s="26" t="str">
        <x:v>Primary agency manual</x:v>
      </x:c>
      <x:c r="F42" s="26" t="str">
        <x:v>Functional placeholders may invoke §112(f); corresponding structure/material/acts must be adequately disclosed when §112(f) applies.</x:v>
      </x:c>
      <x:c r="G42" s="26" t="str">
        <x:v>Use to maintain structural/algorithmic support for controllers and avoid unsupported 'means' placeholders.</x:v>
      </x:c>
      <x:c r="H42" s="26" t="str">
        <x:v>Indexed</x:v>
      </x:c>
      <x:c r="I42" s="26" t="str">
        <x:v>https://www.uspto.gov/web/offices/pac/mpep/s2181.html</x:v>
      </x:c>
    </x:row>
    <x:row r="43">
      <x:c r="A43" s="26" t="str">
        <x:v>SRC-042</x:v>
      </x:c>
      <x:c r="B43" s="26" t="str">
        <x:v>USDA patent application</x:v>
      </x:c>
      <x:c r="C43" s="26" t="str">
        <x:v>US20210315186A1 - Intelligent dual sensory species-specific recognition trigger system</x:v>
      </x:c>
      <x:c r="D43" s="26" t="str">
        <x:v>Priority 2020-04-14</x:v>
      </x:c>
      <x:c r="E43" s="26" t="str">
        <x:v>Patent prior-art source</x:v>
      </x:c>
      <x:c r="F43" s="26" t="str">
        <x:v>Audio+visual target-species recognition can autonomously trigger wildlife devices including feed, toxicants and contraceptives; feral swine expressly contemplated.</x:v>
      </x:c>
      <x:c r="G43" s="26" t="str">
        <x:v>High-risk reference for generic recognition-triggered control; distinguish longitudinal learned-population/completeness architecture.</x:v>
      </x:c>
      <x:c r="H43" s="26" t="str">
        <x:v>Charting</x:v>
      </x:c>
      <x:c r="I43" s="26" t="str">
        <x:v>https://patents.google.com/patent/US20210315186A1/en</x:v>
      </x:c>
    </x:row>
    <x:row r="44">
      <x:c r="A44" s="26" t="str">
        <x:v>SRC-043</x:v>
      </x:c>
      <x:c r="B44" s="26" t="str">
        <x:v>Patent publication</x:v>
      </x:c>
      <x:c r="C44" s="26" t="str">
        <x:v>US20140261201A1 - Species specific feeder</x:v>
      </x:c>
      <x:c r="D44" s="26" t="str">
        <x:v>Priority 2013-03-15</x:v>
      </x:c>
      <x:c r="E44" s="26" t="str">
        <x:v>Patent prior-art source</x:v>
      </x:c>
      <x:c r="F44" s="26" t="str">
        <x:v>Wild-boar feeder uses sound/video recognition, conditioning feed, selective access and population-control compositions including poison/fertility control.</x:v>
      </x:c>
      <x:c r="G44" s="26" t="str">
        <x:v>High-risk reference for feeder/conditioning/toxicant concepts; do not rely on prebaiting or recognition-gated feeder alone.</x:v>
      </x:c>
      <x:c r="H44" s="26" t="str">
        <x:v>Charting</x:v>
      </x:c>
      <x:c r="I44" s="26" t="str">
        <x:v>https://patents.google.com/patent/US20140261201A1/en</x:v>
      </x:c>
    </x:row>
    <x:row r="45">
      <x:c r="A45" s="26" t="str">
        <x:v>SRC-044</x:v>
      </x:c>
      <x:c r="B45" s="26" t="str">
        <x:v>Patent</x:v>
      </x:c>
      <x:c r="C45" s="26" t="str">
        <x:v>US9668467B2 - Systems and methods for trapping animals</x:v>
      </x:c>
      <x:c r="D45" s="26" t="str">
        <x:v>Pre-2017 publication family</x:v>
      </x:c>
      <x:c r="E45" s="26" t="str">
        <x:v>Patent prior-art source</x:v>
      </x:c>
      <x:c r="F45" s="26" t="str">
        <x:v>Video-monitored feral-hog trap allows a user to wait until a desired number, such as a sounder, enters before triggering.</x:v>
      </x:c>
      <x:c r="G45" s="26" t="str">
        <x:v>High-risk reference for 'wait for the whole sounder' concepts; distinguish automated learned registry, representation readiness, identity reconciliation and version-bound authorization.</x:v>
      </x:c>
      <x:c r="H45" s="26" t="str">
        <x:v>Charting</x:v>
      </x:c>
      <x:c r="I45" s="26" t="str">
        <x:v>https://patents.google.com/patent/US9668467B2/en</x:v>
      </x:c>
    </x:row>
    <x:row r="46">
      <x:c r="A46" s="26" t="str">
        <x:v>SRC-045</x:v>
      </x:c>
      <x:c r="B46" s="26" t="str">
        <x:v>Patent</x:v>
      </x:c>
      <x:c r="C46" s="26" t="str">
        <x:v>US11715308B2 / WO2020076225A1 - Animal identification using vision techniques</x:v>
      </x:c>
      <x:c r="D46" s="26" t="str">
        <x:v>Priority 2018-10-10</x:v>
      </x:c>
      <x:c r="E46" s="26" t="str">
        <x:v>Patent prior-art source</x:v>
      </x:c>
      <x:c r="F46" s="26" t="str">
        <x:v>Identifies an individual animal within a known population using vision and stored reference identity data.</x:v>
      </x:c>
      <x:c r="G46" s="26" t="str">
        <x:v>Shows individual re-identification alone is not a novelty anchor; focus combination with longitudinal discovery/completeness/treatment authorization.</x:v>
      </x:c>
      <x:c r="H46" s="26" t="str">
        <x:v>Charting</x:v>
      </x:c>
      <x:c r="I46" s="26" t="str">
        <x:v>https://patents.google.com/patent/US11715308B2/en</x:v>
      </x:c>
    </x:row>
  </x:sheetData>
  <x:pageMargins left="0.7" right="0.7" top="0.75" bottom="0.75" header="0.3" footer="0.3"/>
  <x:tableParts count="1">
    <x:tablePart xmlns:r="http://schemas.openxmlformats.org/officeDocument/2006/relationships" r:id="R101fa275783f420a"/>
  </x:tableParts>
</x:worksheet>
</file>

<file path=xl/worksheets/sheet6.xml><?xml version="1.0" encoding="utf-8"?>
<x:worksheet xmlns:x="http://schemas.openxmlformats.org/spreadsheetml/2006/main">
  <x:sheetFormatPr defaultRowHeight="15"/>
  <x:cols>
    <x:col min="1" max="1" width="14" hidden="0" customWidth="1"/>
    <x:col min="2" max="2" width="22" hidden="0" customWidth="1"/>
    <x:col min="3" max="3" width="52" hidden="0" customWidth="1"/>
    <x:col min="4" max="4" width="28" hidden="0" customWidth="1"/>
    <x:col min="5" max="5" width="20" hidden="0" customWidth="1"/>
    <x:col min="6" max="6" width="34" hidden="0" customWidth="1"/>
    <x:col min="7" max="7" width="36" hidden="0" customWidth="1"/>
    <x:col min="8" max="8" width="55" hidden="0" customWidth="1"/>
  </x:cols>
  <x:sheetData>
    <x:row r="1">
      <x:c r="A1" s="20" t="str">
        <x:v>Date</x:v>
      </x:c>
      <x:c r="B1" s="20" t="str">
        <x:v>Category</x:v>
      </x:c>
      <x:c r="C1" s="20" t="str">
        <x:v>Authority / title</x:v>
      </x:c>
      <x:c r="D1" s="20" t="str">
        <x:v>Citation / type</x:v>
      </x:c>
      <x:c r="E1" s="20" t="str">
        <x:v>Effective / applicable</x:v>
      </x:c>
      <x:c r="F1" s="20" t="str">
        <x:v>Status relative to MPEP</x:v>
      </x:c>
      <x:c r="G1" s="20" t="str">
        <x:v>Project relevance</x:v>
      </x:c>
      <x:c r="H1" s="20" t="str">
        <x:v>Official source</x:v>
      </x:c>
    </x:row>
    <x:row r="2">
      <x:c r="A2" s="26" t="str">
        <x:v>2024-02-27</x:v>
      </x:c>
      <x:c r="B2" s="26" t="str">
        <x:v>Patent notice/guidance</x:v>
      </x:c>
      <x:c r="C2" s="26" t="str">
        <x:v>Updated Guidance for Making a Proper Determination of Obviousness</x:v>
      </x:c>
      <x:c r="D2" s="26" t="str">
        <x:v>89 FR 14449 + examiner memorandum</x:v>
      </x:c>
      <x:c r="E2" s="26" t="str">
        <x:v>2024-02-27</x:v>
      </x:c>
      <x:c r="F2" s="26" t="str">
        <x:v>Post-cutoff; future-MPEP candidate</x:v>
      </x:c>
      <x:c r="G2" s="26" t="str">
        <x:v>High - 103 obviousness analysis</x:v>
      </x:c>
      <x:c r="H2" s="26" t="str">
        <x:v>https://www.uspto.gov/patents/laws/examination-policy/memoranda-examining-corps</x:v>
      </x:c>
    </x:row>
    <x:row r="3">
      <x:c r="A3" s="26" t="str">
        <x:v>2024-03-18</x:v>
      </x:c>
      <x:c r="B3" s="26" t="str">
        <x:v>Patent notice/guidance</x:v>
      </x:c>
      <x:c r="C3" s="26" t="str">
        <x:v>Resources for Examining Means-Plus-Function and Step-Plus-Function Claim Limitations</x:v>
      </x:c>
      <x:c r="D3" s="26" t="str">
        <x:v>89 FR 19817 + examiner memorandum</x:v>
      </x:c>
      <x:c r="E3" s="26" t="str">
        <x:v>2024-03-20 notice</x:v>
      </x:c>
      <x:c r="F3" s="26" t="str">
        <x:v>Post-cutoff; future-MPEP candidate</x:v>
      </x:c>
      <x:c r="G3" s="26" t="str">
        <x:v>Critical - Claim 1 'lethal means'</x:v>
      </x:c>
      <x:c r="H3" s="26" t="str">
        <x:v>https://www.uspto.gov/patents/laws/examination-policy/memoranda-examining-corps</x:v>
      </x:c>
    </x:row>
    <x:row r="4">
      <x:c r="A4" s="26" t="str">
        <x:v>2024-03-22</x:v>
      </x:c>
      <x:c r="B4" s="26" t="str">
        <x:v>Patent rule</x:v>
      </x:c>
      <x:c r="C4" s="26" t="str">
        <x:v>Signature Requirements Related to Acceptance of Electronic Signatures for Patent Correspondence</x:v>
      </x:c>
      <x:c r="D4" s="26" t="str">
        <x:v>89 FR 20321 + memorandum/examples</x:v>
      </x:c>
      <x:c r="E4" s="26" t="str">
        <x:v>2024-03-22</x:v>
      </x:c>
      <x:c r="F4" s="26" t="str">
        <x:v>Post-cutoff rule</x:v>
      </x:c>
      <x:c r="G4" s="26" t="str">
        <x:v>Low/filing administration</x:v>
      </x:c>
      <x:c r="H4" s="26" t="str">
        <x:v>https://www.uspto.gov/web/offices/pac/mpep/subsequent-publications.pdf</x:v>
      </x:c>
    </x:row>
    <x:row r="5">
      <x:c r="A5" s="26" t="str">
        <x:v>2024-03-29</x:v>
      </x:c>
      <x:c r="B5" s="26" t="str">
        <x:v>Patent rule</x:v>
      </x:c>
      <x:c r="C5" s="26" t="str">
        <x:v>Electronic Submission of Federal Circuit Appeal/Judicial Review Notices</x:v>
      </x:c>
      <x:c r="D5" s="26" t="str">
        <x:v>89 FR 22084</x:v>
      </x:c>
      <x:c r="E5" s="26" t="str">
        <x:v>2024-03-29</x:v>
      </x:c>
      <x:c r="F5" s="26" t="str">
        <x:v>Post-cutoff rule</x:v>
      </x:c>
      <x:c r="G5" s="26" t="str">
        <x:v>Low</x:v>
      </x:c>
      <x:c r="H5" s="26" t="str">
        <x:v>https://www.uspto.gov/web/offices/pac/mpep/subsequent-publications.pdf</x:v>
      </x:c>
    </x:row>
    <x:row r="6">
      <x:c r="A6" s="26" t="str">
        <x:v>2024-05-03</x:v>
      </x:c>
      <x:c r="B6" s="26" t="str">
        <x:v>Patent rule</x:v>
      </x:c>
      <x:c r="C6" s="26" t="str">
        <x:v>Adoption of Updated WIPO Standard ST.26; Revision to Incorporation by Reference</x:v>
      </x:c>
      <x:c r="D6" s="26" t="str">
        <x:v>89 FR 36677</x:v>
      </x:c>
      <x:c r="E6" s="26" t="str">
        <x:v>2024-07-01</x:v>
      </x:c>
      <x:c r="F6" s="26" t="str">
        <x:v>Post-cutoff rule</x:v>
      </x:c>
      <x:c r="G6" s="26" t="str">
        <x:v>Low unless sequence listings</x:v>
      </x:c>
      <x:c r="H6" s="26" t="str">
        <x:v>https://www.uspto.gov/web/offices/pac/mpep/subsequent-publications.pdf</x:v>
      </x:c>
    </x:row>
    <x:row r="7">
      <x:c r="A7" s="26" t="str">
        <x:v>2024-06-12</x:v>
      </x:c>
      <x:c r="B7" s="26" t="str">
        <x:v>PTAB rule</x:v>
      </x:c>
      <x:c r="C7" s="26" t="str">
        <x:v>Pre-Issuance Internal Circulation and Review of PTAB Decisions</x:v>
      </x:c>
      <x:c r="D7" s="26" t="str">
        <x:v>89 FR 49808</x:v>
      </x:c>
      <x:c r="E7" s="26" t="str">
        <x:v>2024-07-12</x:v>
      </x:c>
      <x:c r="F7" s="26" t="str">
        <x:v>Post-cutoff rule</x:v>
      </x:c>
      <x:c r="G7" s="26" t="str">
        <x:v>Low</x:v>
      </x:c>
      <x:c r="H7" s="26" t="str">
        <x:v>https://www.uspto.gov/web/offices/pac/mpep/subsequent-publications.pdf</x:v>
      </x:c>
    </x:row>
    <x:row r="8">
      <x:c r="A8" s="26" t="str">
        <x:v>2024-09-18</x:v>
      </x:c>
      <x:c r="B8" s="26" t="str">
        <x:v>PTAB rule</x:v>
      </x:c>
      <x:c r="C8" s="26" t="str">
        <x:v>Motion To Amend Practice in AIA Trial Proceedings</x:v>
      </x:c>
      <x:c r="D8" s="26" t="str">
        <x:v>89 FR 76421</x:v>
      </x:c>
      <x:c r="E8" s="26" t="str">
        <x:v>2024-10-18</x:v>
      </x:c>
      <x:c r="F8" s="26" t="str">
        <x:v>Post-cutoff rule</x:v>
      </x:c>
      <x:c r="G8" s="26" t="str">
        <x:v>Low</x:v>
      </x:c>
      <x:c r="H8" s="26" t="str">
        <x:v>https://www.uspto.gov/web/offices/pac/mpep/subsequent-publications.pdf</x:v>
      </x:c>
    </x:row>
    <x:row r="9">
      <x:c r="A9" s="26" t="str">
        <x:v>2024-10-01</x:v>
      </x:c>
      <x:c r="B9" s="26" t="str">
        <x:v>PTAB rule</x:v>
      </x:c>
      <x:c r="C9" s="26" t="str">
        <x:v>Director Review of PTAB Decisions</x:v>
      </x:c>
      <x:c r="D9" s="26" t="str">
        <x:v>89 FR 79744</x:v>
      </x:c>
      <x:c r="E9" s="26" t="str">
        <x:v>2024-10-31</x:v>
      </x:c>
      <x:c r="F9" s="26" t="str">
        <x:v>Post-cutoff rule</x:v>
      </x:c>
      <x:c r="G9" s="26" t="str">
        <x:v>Low</x:v>
      </x:c>
      <x:c r="H9" s="26" t="str">
        <x:v>https://www.uspto.gov/web/offices/pac/mpep/subsequent-publications.pdf</x:v>
      </x:c>
    </x:row>
    <x:row r="10">
      <x:c r="A10" s="26" t="str">
        <x:v>2024-10-10</x:v>
      </x:c>
      <x:c r="B10" s="26" t="str">
        <x:v>PTAB rule</x:v>
      </x:c>
      <x:c r="C10" s="26" t="str">
        <x:v>Expanding Opportunities To Appear Before PTAB</x:v>
      </x:c>
      <x:c r="D10" s="26" t="str">
        <x:v>89 FR 82172</x:v>
      </x:c>
      <x:c r="E10" s="26" t="str">
        <x:v>2024-11-12</x:v>
      </x:c>
      <x:c r="F10" s="26" t="str">
        <x:v>Post-cutoff rule</x:v>
      </x:c>
      <x:c r="G10" s="26" t="str">
        <x:v>Low</x:v>
      </x:c>
      <x:c r="H10" s="26" t="str">
        <x:v>https://www.uspto.gov/web/offices/pac/mpep/subsequent-publications.pdf</x:v>
      </x:c>
    </x:row>
    <x:row r="11">
      <x:c r="A11" s="26" t="str">
        <x:v>2024-11-20</x:v>
      </x:c>
      <x:c r="B11" s="26" t="str">
        <x:v>Patent rule</x:v>
      </x:c>
      <x:c r="C11" s="26" t="str">
        <x:v>Setting and Adjusting Patent Fees During FY2025</x:v>
      </x:c>
      <x:c r="D11" s="26" t="str">
        <x:v>89 FR 91898; correction 90 FR 3036</x:v>
      </x:c>
      <x:c r="E11" s="26" t="str">
        <x:v>2025-01-19</x:v>
      </x:c>
      <x:c r="F11" s="26" t="str">
        <x:v>Post-cutoff rule</x:v>
      </x:c>
      <x:c r="G11" s="26" t="str">
        <x:v>Medium - filing/prosecution budget</x:v>
      </x:c>
      <x:c r="H11" s="26" t="str">
        <x:v>https://www.uspto.gov/web/offices/pac/mpep/subsequent-publications.pdf</x:v>
      </x:c>
    </x:row>
    <x:row r="12">
      <x:c r="A12" s="26" t="str">
        <x:v>2024-04-11</x:v>
      </x:c>
      <x:c r="B12" s="26" t="str">
        <x:v>Practice guidance</x:v>
      </x:c>
      <x:c r="C12" s="26" t="str">
        <x:v>Guidance on Use of Artificial Intelligence-Based Tools in Practice Before USPTO</x:v>
      </x:c>
      <x:c r="D12" s="26" t="str">
        <x:v>89 FR 25609</x:v>
      </x:c>
      <x:c r="E12" s="26" t="str">
        <x:v>2024-04-11</x:v>
      </x:c>
      <x:c r="F12" s="26" t="str">
        <x:v>Post-cutoff guidance</x:v>
      </x:c>
      <x:c r="G12" s="26" t="str">
        <x:v>High - AI-assisted drafting/use</x:v>
      </x:c>
      <x:c r="H12" s="26" t="str">
        <x:v>https://www.uspto.gov/initiatives/artificial-intelligence/artificial-intelligence-resources</x:v>
      </x:c>
    </x:row>
    <x:row r="13">
      <x:c r="A13" s="26" t="str">
        <x:v>2024-07-17</x:v>
      </x:c>
      <x:c r="B13" s="26" t="str">
        <x:v>Eligibility guidance</x:v>
      </x:c>
      <x:c r="C13" s="26" t="str">
        <x:v>2024 Guidance Update on Patent Subject Matter Eligibility, Including on Artificial Intelligence</x:v>
      </x:c>
      <x:c r="D13" s="26" t="str">
        <x:v>89 FR 58128 + 2024 AI SME examples + memorandum</x:v>
      </x:c>
      <x:c r="E13" s="26" t="str">
        <x:v>2024-07-17</x:v>
      </x:c>
      <x:c r="F13" s="26" t="str">
        <x:v>Post-cutoff guidance</x:v>
      </x:c>
      <x:c r="G13" s="26" t="str">
        <x:v>High - recognition/AI claims</x:v>
      </x:c>
      <x:c r="H13" s="26" t="str">
        <x:v>https://www.uspto.gov/patents/laws/examination-policy/subject-matter-eligibility</x:v>
      </x:c>
    </x:row>
    <x:row r="14">
      <x:c r="A14" s="26" t="str">
        <x:v>2025-01-14</x:v>
      </x:c>
      <x:c r="B14" s="26" t="str">
        <x:v>MPEP superseding memo</x:v>
      </x:c>
      <x:c r="C14" s="26" t="str">
        <x:v>Revised Form Paragraphs for Design Patents and Applications</x:v>
      </x:c>
      <x:c r="D14" s="26" t="str">
        <x:v>TC 2900 memorandum</x:v>
      </x:c>
      <x:c r="E14" s="26" t="str">
        <x:v>2025-01-14</x:v>
      </x:c>
      <x:c r="F14" s="26" t="str">
        <x:v>Explicitly supersedes portions of current MPEP</x:v>
      </x:c>
      <x:c r="G14" s="26" t="str">
        <x:v>Low</x:v>
      </x:c>
      <x:c r="H14" s="26" t="str">
        <x:v>https://www.uspto.gov/web/offices/pac/mpep/</x:v>
      </x:c>
    </x:row>
    <x:row r="15">
      <x:c r="A15" s="26" t="str">
        <x:v>2025-01-17</x:v>
      </x:c>
      <x:c r="B15" s="26" t="str">
        <x:v>MPEP superseding memo</x:v>
      </x:c>
      <x:c r="C15" s="26" t="str">
        <x:v>Revised/New Form Paragraphs re FY2025 Patent Fees</x:v>
      </x:c>
      <x:c r="D15" s="26" t="str">
        <x:v>examiner memorandum</x:v>
      </x:c>
      <x:c r="E15" s="26" t="str">
        <x:v>2025-01-17</x:v>
      </x:c>
      <x:c r="F15" s="26" t="str">
        <x:v>Explicitly supersedes portions of current MPEP</x:v>
      </x:c>
      <x:c r="G15" s="26" t="str">
        <x:v>Medium</x:v>
      </x:c>
      <x:c r="H15" s="26" t="str">
        <x:v>https://www.uspto.gov/web/offices/pac/mpep/</x:v>
      </x:c>
    </x:row>
    <x:row r="16">
      <x:c r="A16" s="26" t="str">
        <x:v>2025-06-10</x:v>
      </x:c>
      <x:c r="B16" s="26" t="str">
        <x:v>Patent rule</x:v>
      </x:c>
      <x:c r="C16" s="26" t="str">
        <x:v>Discontinuation of Accelerated Examination Program for Utility Applications</x:v>
      </x:c>
      <x:c r="D16" s="26" t="str">
        <x:v>90 FR 24324</x:v>
      </x:c>
      <x:c r="E16" s="26" t="str">
        <x:v>2025-07-10</x:v>
      </x:c>
      <x:c r="F16" s="26" t="str">
        <x:v>Post-cutoff rule</x:v>
      </x:c>
      <x:c r="G16" s="26" t="str">
        <x:v>Medium - prosecution planning</x:v>
      </x:c>
      <x:c r="H16" s="26" t="str">
        <x:v>https://www.uspto.gov/web/offices/pac/mpep/subsequent-publications.pdf</x:v>
      </x:c>
    </x:row>
    <x:row r="17">
      <x:c r="A17" s="26" t="str">
        <x:v>2025-07-08</x:v>
      </x:c>
      <x:c r="B17" s="26" t="str">
        <x:v>Patent rule</x:v>
      </x:c>
      <x:c r="C17" s="26" t="str">
        <x:v>2025 Increase of Annual Limit on Accepted Requests for Prioritized Examination</x:v>
      </x:c>
      <x:c r="D17" s="26" t="str">
        <x:v>90 FR 29990</x:v>
      </x:c>
      <x:c r="E17" s="26" t="str">
        <x:v>2025-07-08</x:v>
      </x:c>
      <x:c r="F17" s="26" t="str">
        <x:v>Post-cutoff rule</x:v>
      </x:c>
      <x:c r="G17" s="26" t="str">
        <x:v>Medium - Track One planning</x:v>
      </x:c>
      <x:c r="H17" s="26" t="str">
        <x:v>https://www.uspto.gov/web/offices/pac/mpep/subsequent-publications.pdf</x:v>
      </x:c>
    </x:row>
    <x:row r="18">
      <x:c r="A18" s="26" t="str">
        <x:v>2025-08-04</x:v>
      </x:c>
      <x:c r="B18" s="26" t="str">
        <x:v>Eligibility guidance</x:v>
      </x:c>
      <x:c r="C18" s="26" t="str">
        <x:v>Reminders on evaluating subject matter eligibility under 35 USC 101</x:v>
      </x:c>
      <x:c r="D18" s="26" t="str">
        <x:v>examiner memorandum</x:v>
      </x:c>
      <x:c r="E18" s="26" t="str">
        <x:v>2025-08-04</x:v>
      </x:c>
      <x:c r="F18" s="26" t="str">
        <x:v>Post-cutoff guidance</x:v>
      </x:c>
      <x:c r="G18" s="26" t="str">
        <x:v>High - AI/recognition claims</x:v>
      </x:c>
      <x:c r="H18" s="26" t="str">
        <x:v>https://www.uspto.gov/patents/laws/examination-policy/subject-matter-eligibility</x:v>
      </x:c>
    </x:row>
    <x:row r="19">
      <x:c r="A19" s="26" t="str">
        <x:v>2025-09-11</x:v>
      </x:c>
      <x:c r="B19" s="26" t="str">
        <x:v>Electronic filing guidance</x:v>
      </x:c>
      <x:c r="C19" s="26" t="str">
        <x:v>Updated Legal Framework for Patent Electronic System</x:v>
      </x:c>
      <x:c r="D19" s="26" t="str">
        <x:v>90 FR 44050</x:v>
      </x:c>
      <x:c r="E19" s="26" t="str">
        <x:v>2025-09-11</x:v>
      </x:c>
      <x:c r="F19" s="26" t="str">
        <x:v>Post-cutoff guidance</x:v>
      </x:c>
      <x:c r="G19" s="26" t="str">
        <x:v>Medium - filing workflow</x:v>
      </x:c>
      <x:c r="H19" s="26" t="str">
        <x:v>https://www.uspto.gov/web/offices/pac/mpep/subsequent-publications.pdf</x:v>
      </x:c>
    </x:row>
    <x:row r="20">
      <x:c r="A20" s="26" t="str">
        <x:v>2025-10-24</x:v>
      </x:c>
      <x:c r="B20" s="26" t="str">
        <x:v>MPEP superseding memo</x:v>
      </x:c>
      <x:c r="C20" s="26" t="str">
        <x:v>PE2E Similarity Search guidance</x:v>
      </x:c>
      <x:c r="D20" s="26" t="str">
        <x:v>examiner memorandum</x:v>
      </x:c>
      <x:c r="E20" s="26" t="str">
        <x:v>2025-10-24</x:v>
      </x:c>
      <x:c r="F20" s="26" t="str">
        <x:v>Explicitly supersedes portions of current MPEP</x:v>
      </x:c>
      <x:c r="G20" s="26" t="str">
        <x:v>Medium - examination search practices</x:v>
      </x:c>
      <x:c r="H20" s="26" t="str">
        <x:v>https://www.uspto.gov/web/offices/pac/mpep/</x:v>
      </x:c>
    </x:row>
    <x:row r="21">
      <x:c r="A21" s="26" t="str">
        <x:v>2025-10-24</x:v>
      </x:c>
      <x:c r="B21" s="26" t="str">
        <x:v>MPEP superseding memo</x:v>
      </x:c>
      <x:c r="C21" s="26" t="str">
        <x:v>False assertions/certifications of entity status</x:v>
      </x:c>
      <x:c r="D21" s="26" t="str">
        <x:v>examiner memorandum</x:v>
      </x:c>
      <x:c r="E21" s="26" t="str">
        <x:v>2025-10-24</x:v>
      </x:c>
      <x:c r="F21" s="26" t="str">
        <x:v>Explicitly supersedes portions of current MPEP</x:v>
      </x:c>
      <x:c r="G21" s="26" t="str">
        <x:v>Medium - fee/entity compliance</x:v>
      </x:c>
      <x:c r="H21" s="26" t="str">
        <x:v>https://www.uspto.gov/web/offices/pac/mpep/</x:v>
      </x:c>
    </x:row>
    <x:row r="22">
      <x:c r="A22" s="26" t="str">
        <x:v>2025-11-28</x:v>
      </x:c>
      <x:c r="B22" s="26" t="str">
        <x:v>Inventorship guidance</x:v>
      </x:c>
      <x:c r="C22" s="26" t="str">
        <x:v>Revised Inventorship Guidance for AI-Assisted Inventions</x:v>
      </x:c>
      <x:c r="D22" s="26" t="str">
        <x:v>90 FR 54636</x:v>
      </x:c>
      <x:c r="E22" s="26" t="str">
        <x:v>2025-11-28</x:v>
      </x:c>
      <x:c r="F22" s="26" t="str">
        <x:v>Post-cutoff guidance; rescinds Feb. 2024 AI inventorship guidance</x:v>
      </x:c>
      <x:c r="G22" s="26" t="str">
        <x:v>High - AI use + conception record</x:v>
      </x:c>
      <x:c r="H22" s="26" t="str">
        <x:v>https://www.uspto.gov/subscription-center/2025/revised-inventorship-guidance-ai-assisted-inventions</x:v>
      </x:c>
    </x:row>
    <x:row r="23">
      <x:c r="A23" s="26" t="str">
        <x:v>2025-12-04</x:v>
      </x:c>
      <x:c r="B23" s="26" t="str">
        <x:v>Eligibility guidance</x:v>
      </x:c>
      <x:c r="C23" s="26" t="str">
        <x:v>Subject Matter Eligibility Declarations</x:v>
      </x:c>
      <x:c r="D23" s="26" t="str">
        <x:v>examiner memorandum</x:v>
      </x:c>
      <x:c r="E23" s="26" t="str">
        <x:v>2025-12-04</x:v>
      </x:c>
      <x:c r="F23" s="26" t="str">
        <x:v>Post-cutoff guidance</x:v>
      </x:c>
      <x:c r="G23" s="26" t="str">
        <x:v>Medium</x:v>
      </x:c>
      <x:c r="H23" s="26" t="str">
        <x:v>https://www.uspto.gov/patents/laws/examination-policy/subject-matter-eligibility</x:v>
      </x:c>
    </x:row>
    <x:row r="24">
      <x:c r="A24" s="26" t="str">
        <x:v>2025-12-05</x:v>
      </x:c>
      <x:c r="B24" s="26" t="str">
        <x:v>MPEP superseding memo</x:v>
      </x:c>
      <x:c r="C24" s="26" t="str">
        <x:v>Advance notice of change to MPEP in light of Ex Parte Desjardins</x:v>
      </x:c>
      <x:c r="D24" s="26" t="str">
        <x:v>examiner memorandum</x:v>
      </x:c>
      <x:c r="E24" s="26" t="str">
        <x:v>2025-12-05</x:v>
      </x:c>
      <x:c r="F24" s="26" t="str">
        <x:v>Explicitly supersedes portions of current MPEP</x:v>
      </x:c>
      <x:c r="G24" s="26" t="str">
        <x:v>High - technological-improvement arguments</x:v>
      </x:c>
      <x:c r="H24" s="26" t="str">
        <x:v>https://www.uspto.gov/web/offices/pac/mpep/ANC-Desjardins-Memo-12-5-25.pdf</x:v>
      </x:c>
    </x:row>
    <x:row r="25">
      <x:c r="A25" s="26" t="str">
        <x:v>2026-03-20</x:v>
      </x:c>
      <x:c r="B25" s="26" t="str">
        <x:v>Patent rule</x:v>
      </x:c>
      <x:c r="C25" s="26" t="str">
        <x:v>Required Use by Foreign Applicants and Patent Owners of a Patent Practitioner</x:v>
      </x:c>
      <x:c r="D25" s="26" t="str">
        <x:v>91 FR 13510</x:v>
      </x:c>
      <x:c r="E25" s="26" t="str">
        <x:v>2026-07-20</x:v>
      </x:c>
      <x:c r="F25" s="26" t="str">
        <x:v>Post-cutoff rule</x:v>
      </x:c>
      <x:c r="G25" s="26" t="str">
        <x:v>Low unless foreign applicant/owner</x:v>
      </x:c>
      <x:c r="H25" s="26" t="str">
        <x:v>https://www.uspto.gov/web/offices/pac/mpep/subsequent-publications.pdf</x:v>
      </x:c>
    </x:row>
    <x:row r="26">
      <x:c r="A26" s="26" t="str">
        <x:v>2026-03-13</x:v>
      </x:c>
      <x:c r="B26" s="26" t="str">
        <x:v>Design eligibility guidance</x:v>
      </x:c>
      <x:c r="C26" s="26" t="str">
        <x:v>Supplemental Guidance for Computer-Generated Interfaces and Icons</x:v>
      </x:c>
      <x:c r="D26" s="26" t="str">
        <x:v>91 FR 12394</x:v>
      </x:c>
      <x:c r="E26" s="26" t="str">
        <x:v>2026-03-13</x:v>
      </x:c>
      <x:c r="F26" s="26" t="str">
        <x:v>Post-cutoff guidance</x:v>
      </x:c>
      <x:c r="G26" s="26" t="str">
        <x:v>Low for utility filing</x:v>
      </x:c>
      <x:c r="H26" s="26" t="str">
        <x:v>https://www.uspto.gov/web/offices/pac/mpep/subsequent-publications.pdf</x:v>
      </x:c>
    </x:row>
    <x:row r="27">
      <x:c r="A27" s="26" t="str">
        <x:v>2026-04-30</x:v>
      </x:c>
      <x:c r="B27" s="26" t="str">
        <x:v>Eligibility guidance</x:v>
      </x:c>
      <x:c r="C27" s="26" t="str">
        <x:v>Best Practices for Submission of Rule 132 Subject Matter Eligibility Declarations (SMEDs)</x:v>
      </x:c>
      <x:c r="D27" s="26" t="str">
        <x:v>memorandum</x:v>
      </x:c>
      <x:c r="E27" s="26" t="str">
        <x:v>2026-04-30</x:v>
      </x:c>
      <x:c r="F27" s="26" t="str">
        <x:v>Post-cutoff guidance; supersedes Dec. 4 best-practices memo</x:v>
      </x:c>
      <x:c r="G27" s="26" t="str">
        <x:v>Medium - future prosecution</x:v>
      </x:c>
      <x:c r="H27" s="26" t="str">
        <x:v>https://www.uspto.gov/patents/laws/examination-policy/subject-matter-eligibility</x:v>
      </x:c>
    </x:row>
    <x:row r="28">
      <x:c r="A28" s="26" t="str">
        <x:v>2026-06-24</x:v>
      </x:c>
      <x:c r="B28" s="26" t="str">
        <x:v>Patent rule</x:v>
      </x:c>
      <x:c r="C28" s="26" t="str">
        <x:v>Conditions for Additional Information and Fee in Petitions Based on Unintentional Delay</x:v>
      </x:c>
      <x:c r="D28" s="26" t="str">
        <x:v>91 FR 37826</x:v>
      </x:c>
      <x:c r="E28" s="26" t="str">
        <x:v>2026-08-13</x:v>
      </x:c>
      <x:c r="F28" s="26" t="str">
        <x:v>Post-cutoff rule</x:v>
      </x:c>
      <x:c r="G28" s="26" t="str">
        <x:v>Low/administrative</x:v>
      </x:c>
      <x:c r="H28" s="26" t="str">
        <x:v>https://www.uspto.gov/web/offices/pac/mpep/subsequent-publications.pdf</x:v>
      </x:c>
    </x:row>
    <x:row r="29">
      <x:c r="A29" s="26" t="str">
        <x:v>2026-07-17</x:v>
      </x:c>
      <x:c r="B29" s="26" t="str">
        <x:v>Examiner memo</x:v>
      </x:c>
      <x:c r="C29" s="26" t="str">
        <x:v>Requirement for Foreign Applicants to use Patent Practitioner - implementation</x:v>
      </x:c>
      <x:c r="D29" s="26" t="str">
        <x:v>examiner memorandum + examples</x:v>
      </x:c>
      <x:c r="E29" s="26" t="str">
        <x:v>2026-07-20</x:v>
      </x:c>
      <x:c r="F29" s="26" t="str">
        <x:v>Post-cutoff guidance</x:v>
      </x:c>
      <x:c r="G29" s="26" t="str">
        <x:v>Low unless foreign applicant/owner</x:v>
      </x:c>
      <x:c r="H29" s="26" t="str">
        <x:v>https://www.uspto.gov/patents/laws/examination-policy/memoranda-examining-corps</x:v>
      </x:c>
    </x:row>
    <x:row r="30">
      <x:c r="A30" s="26" t="str">
        <x:v>2026-08-03</x:v>
      </x:c>
      <x:c r="B30" s="26" t="str">
        <x:v>Official Gazette practice notice</x:v>
      </x:c>
      <x:c r="C30" s="26" t="str">
        <x:v>Update to Procedure for Filing Patent Applications in DOCX Format through Patent Center</x:v>
      </x:c>
      <x:c r="D30" s="26" t="str">
        <x:v>Official Gazette notice (published 2026-09-01)</x:v>
      </x:c>
      <x:c r="E30" s="26" t="str">
        <x:v>Aug. 2026 process change</x:v>
      </x:c>
      <x:c r="F30" s="26" t="str">
        <x:v>Post-July-20 supplement; MPEP 502.05 pending revision</x:v>
      </x:c>
      <x:c r="G30" s="26" t="str">
        <x:v>High - filing workflow / source-format verification</x:v>
      </x:c>
      <x:c r="H30" s="26" t="str">
        <x:v>https://www.uspto.gov/patents/laws/patent-related-notices/patent-related-notices-2026</x:v>
      </x:c>
    </x:row>
  </x:sheetData>
  <x:pageMargins left="0.7" right="0.7" top="0.75" bottom="0.75" header="0.3" footer="0.3"/>
  <x:tableParts count="1">
    <x:tablePart xmlns:r="http://schemas.openxmlformats.org/officeDocument/2006/relationships" r:id="R4fd8c63ac9fd43cf"/>
  </x:tableParts>
</x:worksheet>
</file>

<file path=xl/worksheets/sheet7.xml><?xml version="1.0" encoding="utf-8"?>
<x:worksheet xmlns:x="http://schemas.openxmlformats.org/spreadsheetml/2006/main">
  <x:sheetFormatPr defaultRowHeight="15"/>
  <x:cols>
    <x:col min="1" max="1" width="18" hidden="0" customWidth="1"/>
    <x:col min="2" max="2" width="55" hidden="0" customWidth="1"/>
    <x:col min="3" max="3" width="48" hidden="0" customWidth="1"/>
    <x:col min="4" max="4" width="14" hidden="0" customWidth="1"/>
    <x:col min="5" max="5" width="24" hidden="0" customWidth="1"/>
  </x:cols>
  <x:sheetData>
    <x:row r="1">
      <x:c r="A1" s="20" t="str">
        <x:v>Block</x:v>
      </x:c>
      <x:c r="B1" s="20" t="str">
        <x:v>Questions to resolve</x:v>
      </x:c>
      <x:c r="C1" s="20" t="str">
        <x:v>Evidence / output</x:v>
      </x:c>
      <x:c r="D1" s="20" t="str">
        <x:v>Status</x:v>
      </x:c>
      <x:c r="E1" s="20" t="str">
        <x:v>Dependency</x:v>
      </x:c>
    </x:row>
    <x:row r="2">
      <x:c r="A2" s="26" t="str">
        <x:v>Problem</x:v>
      </x:c>
      <x:c r="B2" s="26" t="str">
        <x:v>Where is feral-pig damage costly enough to justify automated control? Who bears the loss?</x:v>
      </x:c>
      <x:c r="C2" s="26" t="str">
        <x:v>Segmented problem statement + loss estimates + buyer map</x:v>
      </x:c>
      <x:c r="D2" s="26" t="str">
        <x:v>Not Started</x:v>
      </x:c>
      <x:c r="E2" s="26" t="str">
        <x:v>Source validation</x:v>
      </x:c>
    </x:row>
    <x:row r="3">
      <x:c r="A3" s="26" t="str">
        <x:v>Customer</x:v>
      </x:c>
      <x:c r="B3" s="26" t="str">
        <x:v>Who can legally buy/deploy/control the system?</x:v>
      </x:c>
      <x:c r="C3" s="26" t="str">
        <x:v>ICP matrix: agency, landowner, farm, operator, airport, conservation manager</x:v>
      </x:c>
      <x:c r="D3" s="26" t="str">
        <x:v>Not Started</x:v>
      </x:c>
      <x:c r="E3" s="26" t="str">
        <x:v>Regulatory map</x:v>
      </x:c>
    </x:row>
    <x:row r="4">
      <x:c r="A4" s="26" t="str">
        <x:v>Value proposition</x:v>
      </x:c>
      <x:c r="B4" s="26" t="str">
        <x:v>What measurable outcome improves: removals/night, labor, non-target risk, crop damage, surveillance burden?</x:v>
      </x:c>
      <x:c r="C4" s="26" t="str">
        <x:v>Quantified benefit hypotheses + pilot metrics</x:v>
      </x:c>
      <x:c r="D4" s="26" t="str">
        <x:v>Not Started</x:v>
      </x:c>
      <x:c r="E4" s="26" t="str">
        <x:v>Pilot design</x:v>
      </x:c>
    </x:row>
    <x:row r="5">
      <x:c r="A5" s="26" t="str">
        <x:v>Product</x:v>
      </x:c>
      <x:c r="B5" s="26" t="str">
        <x:v>What is sold: recognition module, feeder/actuator, full station, managed service, licensing?</x:v>
      </x:c>
      <x:c r="C5" s="26" t="str">
        <x:v>Architecture and BOM/service variants</x:v>
      </x:c>
      <x:c r="D5" s="26" t="str">
        <x:v>Not Started</x:v>
      </x:c>
      <x:c r="E5" s="26" t="str">
        <x:v>Technical disclosure</x:v>
      </x:c>
    </x:row>
    <x:row r="6">
      <x:c r="A6" s="26" t="str">
        <x:v>IP moat</x:v>
      </x:c>
      <x:c r="B6" s="26" t="str">
        <x:v>Which technical features are claimable and hard to design around?</x:v>
      </x:c>
      <x:c r="C6" s="26" t="str">
        <x:v>Claim-support/prior-art matrix</x:v>
      </x:c>
      <x:c r="D6" s="26" t="str">
        <x:v>Not Started</x:v>
      </x:c>
      <x:c r="E6" s="26" t="str">
        <x:v>Prior-art search</x:v>
      </x:c>
    </x:row>
    <x:row r="7">
      <x:c r="A7" s="26" t="str">
        <x:v>Regulatory</x:v>
      </x:c>
      <x:c r="B7" s="26" t="str">
        <x:v>What pesticide/wildlife/device approvals govern each embodiment?</x:v>
      </x:c>
      <x:c r="C7" s="26" t="str">
        <x:v>Jurisdiction-by-jurisdiction deployment matrix</x:v>
      </x:c>
      <x:c r="D7" s="26" t="str">
        <x:v>Not Started</x:v>
      </x:c>
      <x:c r="E7" s="26" t="str">
        <x:v>Counsel/agency research</x:v>
      </x:c>
    </x:row>
    <x:row r="8">
      <x:c r="A8" s="26" t="str">
        <x:v>Go-to-market</x:v>
      </x:c>
      <x:c r="B8" s="26" t="str">
        <x:v>Direct agency procurement, dealers/operators, OEM licensing, pilot-to-contract?</x:v>
      </x:c>
      <x:c r="C8" s="26" t="str">
        <x:v>Channel and procurement strategy</x:v>
      </x:c>
      <x:c r="D8" s="26" t="str">
        <x:v>Not Started</x:v>
      </x:c>
      <x:c r="E8" s="26" t="str">
        <x:v>Customer interviews</x:v>
      </x:c>
    </x:row>
    <x:row r="9">
      <x:c r="A9" s="26" t="str">
        <x:v>Revenue</x:v>
      </x:c>
      <x:c r="B9" s="26" t="str">
        <x:v>Hardware margin, recurring software/data, consumables, service, licensing</x:v>
      </x:c>
      <x:c r="C9" s="26" t="str">
        <x:v>Unit-economics model</x:v>
      </x:c>
      <x:c r="D9" s="26" t="str">
        <x:v>Not Started</x:v>
      </x:c>
      <x:c r="E9" s="26" t="str">
        <x:v>Product choice</x:v>
      </x:c>
    </x:row>
    <x:row r="10">
      <x:c r="A10" s="26" t="str">
        <x:v>Data moat</x:v>
      </x:c>
      <x:c r="B10" s="26" t="str">
        <x:v>Who owns field video/audio/labels and derived models?</x:v>
      </x:c>
      <x:c r="C10" s="26" t="str">
        <x:v>Data rights clause set + retention/security policy</x:v>
      </x:c>
      <x:c r="D10" s="26" t="str">
        <x:v>Not Started</x:v>
      </x:c>
      <x:c r="E10" s="26" t="str">
        <x:v>Partnership/NDA</x:v>
      </x:c>
    </x:row>
    <x:row r="11">
      <x:c r="A11" s="26" t="str">
        <x:v>Pilot</x:v>
      </x:c>
      <x:c r="B11" s="26" t="str">
        <x:v>What can be tested safely and legally without compromising IP?</x:v>
      </x:c>
      <x:c r="C11" s="26" t="str">
        <x:v>Pilot protocol + kill/no-kill phases + success criteria</x:v>
      </x:c>
      <x:c r="D11" s="26" t="str">
        <x:v>Not Started</x:v>
      </x:c>
      <x:c r="E11" s="26" t="str">
        <x:v>Patent filing + regulatory</x:v>
      </x:c>
    </x:row>
  </x:sheetData>
  <x:pageMargins left="0.7" right="0.7" top="0.75" bottom="0.75" header="0.3" footer="0.3"/>
  <x:tableParts count="1">
    <x:tablePart xmlns:r="http://schemas.openxmlformats.org/officeDocument/2006/relationships" r:id="R55fbb742b1104dfb"/>
  </x:tableParts>
</x:worksheet>
</file>

<file path=xl/worksheets/sheet8.xml><?xml version="1.0" encoding="utf-8"?>
<x:worksheet xmlns:x="http://schemas.openxmlformats.org/spreadsheetml/2006/main">
  <x:sheetFormatPr defaultRowHeight="15"/>
  <x:cols>
    <x:col min="1" max="1" width="12" hidden="0" customWidth="1"/>
    <x:col min="2" max="2" width="12" hidden="0" customWidth="1"/>
    <x:col min="3" max="3" width="34" hidden="0" customWidth="1"/>
    <x:col min="4" max="4" width="34" hidden="0" customWidth="1"/>
    <x:col min="5" max="5" width="34" hidden="0" customWidth="1"/>
    <x:col min="6" max="6" width="34" hidden="0" customWidth="1"/>
    <x:col min="7" max="7" width="34" hidden="0" customWidth="1"/>
    <x:col min="8" max="8" width="12" hidden="0" customWidth="1"/>
  </x:cols>
  <x:sheetData>
    <x:row r="1">
      <x:c r="A1" s="33" t="str">
        <x:v>Decision ID</x:v>
      </x:c>
      <x:c r="B1" s="33" t="str">
        <x:v>Date</x:v>
      </x:c>
      <x:c r="C1" s="33" t="str">
        <x:v>Topic</x:v>
      </x:c>
      <x:c r="D1" s="33" t="str">
        <x:v>Decision</x:v>
      </x:c>
      <x:c r="E1" s="33" t="str">
        <x:v>Rationale</x:v>
      </x:c>
      <x:c r="F1" s="33" t="str">
        <x:v>Consequence / implementation</x:v>
      </x:c>
      <x:c r="G1" s="33" t="str">
        <x:v>Authority</x:v>
      </x:c>
      <x:c r="H1" s="33" t="str">
        <x:v>Status</x:v>
      </x:c>
    </x:row>
    <x:row r="2">
      <x:c r="A2" s="26" t="str">
        <x:v>DEC-001</x:v>
      </x:c>
      <x:c r="B2" s="28" t="n">
        <x:v>46268</x:v>
      </x:c>
      <x:c r="C2" s="26" t="str">
        <x:v>Provisional claim strategy</x:v>
      </x:c>
      <x:c r="D2" s="26" t="str">
        <x:v>Do not use a formal claim count or claim scope as a limiter on the provisional disclosure. Formal claims are optional. The specification and drawings should disclose the invention broadly, with broad-to-narrow alternatives, permutations, implementations, and fallback embodiments sufficient to support later claim drafting.</x:v>
      </x:c>
      <x:c r="E2" s="26" t="str">
        <x:v>The priority objective is to maximize §112(a) written-description and enablement support for later claims rather than to perfect or constrain a 20-claim set before filing.</x:v>
      </x:c>
      <x:c r="F2" s="26" t="str">
        <x:v>The 20-claim Set 1 remains an internal claim-architecture/search/restriction-planning tool, but it is not a provisional-filing gate. Filing is gated by disclosure support, drawings where needed, inventorship, disclosure-control, and attorney review.</x:v>
      </x:c>
      <x:c r="G2" s="26" t="str">
        <x:v>35 U.S.C. 111(b); MPEP §§ 201.04, 211.05, 601, 608.04, 2163.06</x:v>
      </x:c>
      <x:c r="H2" s="26" t="str">
        <x:v>Adopted</x:v>
      </x:c>
    </x:row>
    <x:row r="3">
      <x:c r="A3" s="26" t="str">
        <x:v>DEC-002</x:v>
      </x:c>
      <x:c r="B3" s="28" t="n">
        <x:v>46268</x:v>
      </x:c>
      <x:c r="C3" s="26" t="str">
        <x:v>Later-developed subject matter</x:v>
      </x:c>
      <x:c r="D3" s="26" t="str">
        <x:v>If a material embodiment, improvement, or technical detail is conceived after the first provisional is filed and before the nonprovisional, evaluate filing an additional provisional rather than attempting to amend the first provisional.</x:v>
      </x:c>
      <x:c r="E3" s="26" t="str">
        <x:v>A provisional cannot be substantively amended after it receives a filing date. A later nonprovisional may claim benefit of one or more prior-filed provisional applications, but each claim receives an earlier date only for subject matter adequately supported and enabled by the applicable earlier disclosure.</x:v>
      </x:c>
      <x:c r="F3" s="26" t="str">
        <x:v>Maintain a disclosure-date/support matrix so later claims can be mapped to the earliest provisional that actually supports each limitation. New material first disclosed later receives the later effective filing date.</x:v>
      </x:c>
      <x:c r="G3" s="26" t="str">
        <x:v>37 CFR 1.78(a); MPEP §§ 211.02, 211.05, 608.04</x:v>
      </x:c>
      <x:c r="H3" s="26" t="str">
        <x:v>Adopted</x:v>
      </x:c>
    </x:row>
    <x:row r="4">
      <x:c r="A4" s="26" t="str">
        <x:v>DEC-003</x:v>
      </x:c>
      <x:c r="B4" s="28" t="n">
        <x:v>46268</x:v>
      </x:c>
      <x:c r="C4" s="26" t="str">
        <x:v>Provisional drafting architecture</x:v>
      </x:c>
      <x:c r="D4" s="26" t="str">
        <x:v>Use the Broad Disclosure Matrix and Claim-Spec Support Matrix as the primary provisional drafting controls. Set 1 claims remain probes only.</x:v>
      </x:c>
      <x:c r="E4" s="26" t="str">
        <x:v>USPTO requires adequate written description and enablement for later-claimed subject matter; broad genus support requires representative species/common identifying architecture rather than a mere laundry list.</x:v>
      </x:c>
      <x:c r="F4" s="26" t="str">
        <x:v>Specification drafting proceeds by matrix dimension and representative embodiment; unresolved inventor-confirmation items are explicit filing risks.</x:v>
      </x:c>
      <x:c r="G4" s="26" t="str">
        <x:v>MPEP §§ 211.05, 2163, 2164; USPTO Provisional Application guidance</x:v>
      </x:c>
      <x:c r="H4" s="26" t="str">
        <x:v>Adopted</x:v>
      </x:c>
    </x:row>
    <x:row r="5">
      <x:c r="A5" s="26" t="str">
        <x:v>DEC-004</x:v>
      </x:c>
      <x:c r="B5" s="28" t="n">
        <x:v>46268</x:v>
      </x:c>
      <x:c r="C5" s="26" t="str">
        <x:v>AI-proposed disclosure handling</x:v>
      </x:c>
      <x:c r="D5" s="26" t="str">
        <x:v>Do not silently treat AI-proposed embodiments, algorithms, or combinations as inventor-conceived subject matter. Mark them for inventor confirmation before filing.</x:v>
      </x:c>
      <x:c r="E5" s="26" t="str">
        <x:v>The filing should accurately reflect human conception and possession; AI can assist drafting but cannot substitute for the inventors' conception record.</x:v>
      </x:c>
      <x:c r="F5" s="26" t="str">
        <x:v>Maintain 'Inventor confirmation' status in the disclosure matrix and document confirmations/contributions before attorney review.</x:v>
      </x:c>
      <x:c r="G5" s="26" t="str">
        <x:v>USPTO inventorship/written-description principles; project governance</x:v>
      </x:c>
      <x:c r="H5" s="26" t="str">
        <x:v>Adopted</x:v>
      </x:c>
    </x:row>
    <x:row r="6">
      <x:c r="A6" s="26" t="str">
        <x:v>DEC-005</x:v>
      </x:c>
      <x:c r="B6" s="28" t="n">
        <x:v>46268</x:v>
      </x:c>
      <x:c r="C6" s="26" t="str">
        <x:v>Conversion-ready provisional claim universe</x:v>
      </x:c>
      <x:c r="D6" s="26" t="str">
        <x:v>Draft an intentionally overcomplete claim universe and comprehensive supporting technical disclosure so that later nonprovisional conversion can principally prune, consolidate, and prosecute claims rather than add technical subject matter.</x:v>
      </x:c>
      <x:c r="E6" s="26" t="str">
        <x:v>Formal claims are not required in a provisional, but claim drafting now is used to expose missing written-description and enablement support. Claim-count optimization is deferred until the nonprovisional strategy checkpoint.</x:v>
      </x:c>
      <x:c r="F6" s="26" t="str">
        <x:v>Maintain unrestricted claim expansion during provisional drafting; perform substantive pruning around month 10 after filing while preserving the ability to file supplemental provisionals for genuinely later-conceived subject matter.</x:v>
      </x:c>
      <x:c r="G6" s="26" t="str">
        <x:v>MPEP §§ 211.05, 608.01(n), 2111.03, 2163, 2164, 2173, 2181</x:v>
      </x:c>
      <x:c r="H6" s="26" t="str">
        <x:v>Adopted</x:v>
      </x:c>
    </x:row>
    <x:row r="7">
      <x:c r="A7" s="26" t="str">
        <x:v>DEC-006</x:v>
      </x:c>
      <x:c r="B7" s="28" t="n">
        <x:v>46268</x:v>
      </x:c>
      <x:c r="C7" s="26" t="str">
        <x:v>Specified toxicant vs. species-selective toxicant</x:v>
      </x:c>
      <x:c r="D7" s="26" t="str">
        <x:v>Treat a particular/predetermined toxicant as a separate claim and disclosure branch from a species-selective toxicant. A specified toxicant may be nonselective, selectively exposed, or independently have differential target toxicity.</x:v>
      </x:c>
      <x:c r="E7" s="26" t="str">
        <x:v>The inventor's stated concept of a 'specific toxin' does not inherently require species-selective toxicology.</x:v>
      </x:c>
      <x:c r="F7" s="26" t="str">
        <x:v>Add a separate independent claim family and concrete named-toxicant examples while preserving the broader general-toxicant and species-selective-toxicant branches.</x:v>
      </x:c>
      <x:c r="G7" s="26" t="str">
        <x:v>MPEP §§ 2163, 2164, 2173; inventor conception clarification</x:v>
      </x:c>
      <x:c r="H7" s="26" t="str">
        <x:v>Adopted</x:v>
      </x:c>
    </x:row>
    <x:row r="8">
      <x:c r="A8" s="26" t="str">
        <x:v>DEC-007</x:v>
      </x:c>
      <x:c r="B8" s="28" t="n">
        <x:v>46268</x:v>
      </x:c>
      <x:c r="C8" s="26" t="str">
        <x:v>Attraction/conditioning and trough delivery</x:v>
      </x:c>
      <x:c r="D8" s="26" t="str">
        <x:v>Expressly disclose and claim use of feed and other attractants to draw feral pigs to a monitored population-control trough/station, including a conditioning/pre-bait phase followed by selective population-control treatment delivery.</x:v>
      </x:c>
      <x:c r="E8" s="26" t="str">
        <x:v>Attraction and repeated return can serve both population-learning and delivery functions; feed is expressly part of the claimed delivery architecture.</x:v>
      </x:c>
      <x:c r="F8" s="26" t="str">
        <x:v>Add independent attraction/trough family and detailed specification embodiments, while maintaining non-target and regulatory safeguards.</x:v>
      </x:c>
      <x:c r="G8" s="26" t="str">
        <x:v>USDA APHIS feral-swine technical guidance; inventor conception</x:v>
      </x:c>
      <x:c r="H8" s="26" t="str">
        <x:v>Adopted</x:v>
      </x:c>
    </x:row>
    <x:row r="9">
      <x:c r="A9" s="26" t="str">
        <x:v>DEC-008</x:v>
      </x:c>
      <x:c r="B9" s="28" t="n">
        <x:v>46268</x:v>
      </x:c>
      <x:c r="C9" s="26" t="str">
        <x:v>KAPUT® / warfarin named-product embodiment</x:v>
      </x:c>
      <x:c r="D9" s="26" t="str">
        <x:v>Expressly contemplate and claim KAPUT® Feral Hog Bait as a narrow named-product embodiment, identified technically by EPA Registration No. 72500-26 and warfarin rather than by trademark alone.</x:v>
      </x:c>
      <x:c r="E9" s="26" t="str">
        <x:v>MPEP trade-name guidance favors definite technical identification; named-product claims provide a concrete species while broader toxicant claims remain independent.</x:v>
      </x:c>
      <x:c r="F9" s="26" t="str">
        <x:v>Add claims 131-135 and corresponding named-product specification section.</x:v>
      </x:c>
      <x:c r="G9" s="26" t="str">
        <x:v>MPEP §608.01(v); EPA Reg. No. 72500-26</x:v>
      </x:c>
      <x:c r="H9" s="26" t="str">
        <x:v>Adopted</x:v>
      </x:c>
    </x:row>
    <x:row r="10">
      <x:c r="A10" s="26" t="str">
        <x:v>DEC-009</x:v>
      </x:c>
      <x:c r="B10" s="28" t="n">
        <x:v>46268</x:v>
      </x:c>
      <x:c r="C10" s="26" t="str">
        <x:v>Other target animal populations</x:v>
      </x:c>
      <x:c r="D10" s="26" t="str">
        <x:v>Preserve a broader target-animal population-control genus in addition to the feral-swine core, with representative animal classes and the common sensor-recognition-authorization-control architecture.</x:v>
      </x:c>
      <x:c r="E10" s="26" t="str">
        <x:v>The business and patent platform may extend beyond feral pigs, but full-scope written-description/enablement must be developed through representative embodiments rather than labels alone.</x:v>
      </x:c>
      <x:c r="F10" s="26" t="str">
        <x:v>Add generic target-animal claim family and expand specification perspective without diluting feral-swine core.</x:v>
      </x:c>
      <x:c r="G10" s="26" t="str">
        <x:v>MPEP §§2163, 2164; inventor direction</x:v>
      </x:c>
      <x:c r="H10" s="26" t="str">
        <x:v>Adopted</x:v>
      </x:c>
    </x:row>
    <x:row r="11">
      <x:c r="A11" s="26" t="str">
        <x:v>DEC-010</x:v>
      </x:c>
      <x:c r="B11" s="28" t="n">
        <x:v>46268</x:v>
      </x:c>
      <x:c r="C11" s="26" t="str">
        <x:v>Patent figure / reference-numeral architecture</x:v>
      </x:c>
      <x:c r="D11" s="26" t="str">
        <x:v>Use FIGS. 1-12 and stable numerals 100-1290 as the common structural vocabulary for specification, claims, support audits and later drawings.</x:v>
      </x:c>
      <x:c r="E11" s="26" t="str">
        <x:v>Detailed drawings can themselves evidence possession of structural relationships and make functional limitations less result-only.</x:v>
      </x:c>
      <x:c r="F11" s="26" t="str">
        <x:v>Maintain figure numeral sheet and update both drawing and text when a component changes.</x:v>
      </x:c>
      <x:c r="G11" s="26" t="str">
        <x:v>MPEP §§2163, 2164; project drafting control</x:v>
      </x:c>
      <x:c r="H11" s="26" t="str">
        <x:v>Adopted</x:v>
      </x:c>
    </x:row>
    <x:row r="12">
      <x:c r="A12" s="26" t="str">
        <x:v>DEC-011</x:v>
      </x:c>
      <x:c r="B12" s="28" t="n">
        <x:v>46268</x:v>
      </x:c>
      <x:c r="C12" s="26" t="str">
        <x:v>Genetic and species-selective treatment drafting restraint</x:v>
      </x:c>
      <x:c r="D12" s="26" t="str">
        <x:v>Do not use sodium nitrite as proof of true species-exclusive toxicity and do not invent molecular genetic-control details. Preserve these branches but condition broad reliance on concrete inventor-conceived enabling support.</x:v>
      </x:c>
      <x:c r="E12" s="26" t="str">
        <x:v>Current literature supports differential susceptibility and generic genetic-biocontrol concepts, but that does not establish inventor possession of a specific broad genus.</x:v>
      </x:c>
      <x:c r="F12" s="26" t="str">
        <x:v>Keep explicit inventor-confirmation gates and treat unresolved branches as filing risks.</x:v>
      </x:c>
      <x:c r="G12" s="26" t="str">
        <x:v>MPEP §§2163, 2164; technical literature review</x:v>
      </x:c>
      <x:c r="H12" s="26" t="str">
        <x:v>Adopted</x:v>
      </x:c>
    </x:row>
    <x:row r="13">
      <x:c r="A13" s="26" t="str">
        <x:v>DEC-012</x:v>
      </x:c>
      <x:c r="B13" s="28" t="n">
        <x:v>46268</x:v>
      </x:c>
      <x:c r="C13" s="26" t="str">
        <x:v>Retirement of legacy Set-1 / 20-claim controls</x:v>
      </x:c>
      <x:c r="D13" s="26" t="str">
        <x:v>The unrestricted claim universe controls. Legacy tasks, risk entries, or notes that require exactly 20 claims, a Set-1-only architecture, a pending mid-scope claim, 17 dependent claims, or the former Claim 20 wording are superseded and must not control drafting.</x:v>
      </x:c>
      <x:c r="E13" s="26" t="str">
        <x:v>The current tracker already records 135 claims, 14 independent families, no claim-universe ceiling, and deferred pruning. Continuing legacy Set-1 controls would conflict with the current project instructions and canonical patent state.</x:v>
      </x:c>
      <x:c r="F13" s="26" t="str">
        <x:v>Mark stale Set-1 tasks as superseded; resolve the obsolete former-Claim-20 semantic risk; remap any still-valid population-completeness risk to the current claims; draft only from the unrestricted universe.</x:v>
      </x:c>
      <x:c r="G13" s="26" t="str">
        <x:v>Current project instructions; DEC-005; Dashboard; canonical workspace reconciliation</x:v>
      </x:c>
      <x:c r="H13" s="26" t="str">
        <x:v>Adopted</x:v>
      </x:c>
    </x:row>
    <x:row r="14">
      <x:c r="A14" s="26" t="str">
        <x:v>DEC-013</x:v>
      </x:c>
      <x:c r="B14" s="28" t="n">
        <x:v>46268</x:v>
      </x:c>
      <x:c r="C14" s="26" t="str">
        <x:v>Stable artifact-family stems and naming exceptions</x:v>
      </x:c>
      <x:c r="D14" s="26" t="str">
        <x:v>Revisions addressing the same artifact/function must retain the same descriptive artifact stem; only version/date change unless a deliberate family split is recorded. Browser-export dependency assets and immutable external-source originals are exempt from individual FeralPig renaming, but enclosing project packages must be descriptively versioned.</x:v>
      </x:c>
      <x:c r="E14" s="26" t="str">
        <x:v>Prevents revision-family drift, duplicate authority, broken browser exports, and accidental renaming of external primary-source records.</x:v>
      </x:c>
      <x:c r="F14" s="26" t="str">
        <x:v>Use FeralPig_&lt;Artifact&gt;_v&lt;major.minor&gt;_&lt;YYYYMMDD&gt; for project-authored substantive files; archive superseded revisions; keep current_drafts derivative; preserve internal browser asset names.</x:v>
      </x:c>
      <x:c r="G14" s="26" t="str">
        <x:v>Live OneDrive naming/organization audit; current project instructions</x:v>
      </x:c>
      <x:c r="H14" s="26" t="str">
        <x:v>Adopted</x:v>
      </x:c>
    </x:row>
    <x:row r="15">
      <x:c r="A15" s="26" t="str">
        <x:v>DEC-014</x:v>
      </x:c>
      <x:c r="B15" s="28" t="n">
        <x:v>46268</x:v>
      </x:c>
      <x:c r="C15" s="26" t="str">
        <x:v>Do not center novelty on recognition-gated feeder conditioning or general toxicant access</x:v>
      </x:c>
      <x:c r="D15" s="26" t="str">
        <x:v>Working patentability strategy will not treat generic species recognition, recognition-controlled feeder access, prebait/acclimation, conditioning-to-treatment transition, or general toxicant selective access as primary novelty anchors.</x:v>
      </x:c>
      <x:c r="E15" s="26" t="str">
        <x:v>US20140261201A1/US10292363B2 and US20210315186A1 materially disclose these concepts; US9668467B2 adds whole-sounder/desired-number actuation context.</x:v>
      </x:c>
      <x:c r="F15" s="26" t="str">
        <x:v>Center further search/drafting on the learned local-membership state machine, representation readiness, identity-set completeness, unresolved-animal handling, version-bound authorization, and revalidation while preserving broader claims as support/probe positions.</x:v>
      </x:c>
      <x:c r="G15" s="26" t="str">
        <x:v>PAT-042 Prior Art Claim Chart; reviewed patent references</x:v>
      </x:c>
      <x:c r="H15" s="26" t="str">
        <x:v>Adopted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18" hidden="0" customWidth="1"/>
    <x:col min="3" max="3" width="22" hidden="0" customWidth="1"/>
    <x:col min="4" max="4" width="34" hidden="0" customWidth="1"/>
    <x:col min="5" max="5" width="38" hidden="0" customWidth="1"/>
    <x:col min="6" max="6" width="42" hidden="0" customWidth="1"/>
    <x:col min="7" max="7" width="28" hidden="0" customWidth="1"/>
    <x:col min="8" max="8" width="14" hidden="0" customWidth="1"/>
    <x:col min="9" max="9" width="38" hidden="0" customWidth="1"/>
    <x:col min="10" max="10" width="20" hidden="0" customWidth="1"/>
    <x:col min="11" max="11" width="18" hidden="0" customWidth="1"/>
  </x:cols>
  <x:sheetData>
    <x:row r="1">
      <x:c r="A1" s="38" t="str">
        <x:v>ID</x:v>
      </x:c>
      <x:c r="B1" s="38" t="str">
        <x:v>Dimension</x:v>
      </x:c>
      <x:c r="C1" s="38" t="str">
        <x:v>Broad category</x:v>
      </x:c>
      <x:c r="D1" s="38" t="str">
        <x:v>Representative embodiments / species</x:v>
      </x:c>
      <x:c r="E1" s="38" t="str">
        <x:v>Common technical architecture</x:v>
      </x:c>
      <x:c r="F1" s="38" t="str">
        <x:v>Concrete disclosure to include</x:v>
      </x:c>
      <x:c r="G1" s="38" t="str">
        <x:v>Source basis</x:v>
      </x:c>
      <x:c r="H1" s="38" t="str">
        <x:v>Support status</x:v>
      </x:c>
      <x:c r="I1" s="38" t="str">
        <x:v>§112 / drafting risk</x:v>
      </x:c>
      <x:c r="J1" s="38" t="str">
        <x:v>Spec section refs</x:v>
      </x:c>
      <x:c r="K1" s="38" t="str">
        <x:v>Inventor confirmation</x:v>
      </x:c>
    </x:row>
    <x:row r="2">
      <x:c r="A2" s="26" t="str">
        <x:v>PST-01</x:v>
      </x:c>
      <x:c r="B2" s="26" t="str">
        <x:v>Pest class</x:v>
      </x:c>
      <x:c r="C2" s="26" t="str">
        <x:v>Terrestrial mammals</x:v>
      </x:c>
      <x:c r="D2" s="26" t="str">
        <x:v>Feral swine; rats/mice; invasive rabbits or similar nuisance mammals</x:v>
      </x:c>
      <x:c r="E2" s="26" t="str">
        <x:v>Sensor observes candidate; classifier determines target status; decision engine gates a control interface; non-target conditions can inhibit actuation.</x:v>
      </x:c>
      <x:c r="F2" s="26" t="str">
        <x:v>Describe body-scale variation, locomotion, sensor placement, day/night operation, individual versus species recognition, and mechanism sized/configured for the target.</x:v>
      </x:c>
      <x:c r="G2" s="26" t="str">
        <x:v>Project concept; APHIS feral-swine materials; inventor expansion</x:v>
      </x:c>
      <x:c r="H2" s="26" t="str">
        <x:v>Partial</x:v>
      </x:c>
      <x:c r="I2" s="26" t="str">
        <x:v>Broad 'pest' genus is not supported by feral-swine disclosure alone; representative species/common architecture needed.</x:v>
      </x:c>
      <x:c r="J2" s="26" t="str">
        <x:v>[0008]-[0013], [0030]-[0058], [0120]-[0155]</x:v>
      </x:c>
      <x:c r="K2" s="26" t="str">
        <x:v>Required</x:v>
      </x:c>
    </x:row>
    <x:row r="3">
      <x:c r="A3" s="26" t="str">
        <x:v>PST-02</x:v>
      </x:c>
      <x:c r="B3" s="26" t="str">
        <x:v>Pest class</x:v>
      </x:c>
      <x:c r="C3" s="26" t="str">
        <x:v>Birds</x:v>
      </x:c>
      <x:c r="D3" s="26" t="str">
        <x:v>Pigeons; starlings; other legally controllable nuisance/invasive birds</x:v>
      </x:c>
      <x:c r="E3" s="26" t="str">
        <x:v>Visual/thermal/acoustic detection followed by target classification and location-constrained control authorization.</x:v>
      </x:c>
      <x:c r="F3" s="26" t="str">
        <x:v>Describe aerial/perching motion, background separation, protected-species exclusion, and location/zone restrictions; no field use absent applicable wildlife authorization.</x:v>
      </x:c>
      <x:c r="G3" s="26" t="str">
        <x:v>AI-proposed representative embodiment</x:v>
      </x:c>
      <x:c r="H3" s="26" t="str">
        <x:v>Proposed</x:v>
      </x:c>
      <x:c r="I3" s="26" t="str">
        <x:v>Inventor confirmation and regulatory review required; avian operation differs materially from mammalian operation.</x:v>
      </x:c>
      <x:c r="J3" s="26" t="str">
        <x:v>[0010], [0030]-[0058], [0095]-[0118], [0160]-[0180]</x:v>
      </x:c>
      <x:c r="K3" s="26" t="str">
        <x:v>Required</x:v>
      </x:c>
    </x:row>
    <x:row r="4">
      <x:c r="A4" s="26" t="str">
        <x:v>PST-03</x:v>
      </x:c>
      <x:c r="B4" s="26" t="str">
        <x:v>Pest class</x:v>
      </x:c>
      <x:c r="C4" s="26" t="str">
        <x:v>Arthropods / insects</x:v>
      </x:c>
      <x:c r="D4" s="26" t="str">
        <x:v>Mosquitoes; flies; crop insects; beetles or similar pests</x:v>
      </x:c>
      <x:c r="E4" s="26" t="str">
        <x:v>Optical or acoustic sensing identifies a small target and localizes it before a localized lethal/control event.</x:v>
      </x:c>
      <x:c r="F4" s="26" t="str">
        <x:v>Describe close-range imaging/illumination, motion trajectories, size scale, localized treatment zone, and non-target insect exclusion criteria.</x:v>
      </x:c>
      <x:c r="G4" s="26" t="str">
        <x:v>AI-proposed representative embodiment</x:v>
      </x:c>
      <x:c r="H4" s="26" t="str">
        <x:v>Proposed</x:v>
      </x:c>
      <x:c r="I4" s="26" t="str">
        <x:v>High enablement breadth risk versus large-animal embodiments; requires separate concrete implementation.</x:v>
      </x:c>
      <x:c r="J4" s="26" t="str">
        <x:v>[0011], [0038]-[0058], [0105]-[0118], [0135]-[0155]</x:v>
      </x:c>
      <x:c r="K4" s="26" t="str">
        <x:v>Required</x:v>
      </x:c>
    </x:row>
    <x:row r="5">
      <x:c r="A5" s="26" t="str">
        <x:v>PST-04</x:v>
      </x:c>
      <x:c r="B5" s="26" t="str">
        <x:v>Pest class</x:v>
      </x:c>
      <x:c r="C5" s="26" t="str">
        <x:v>Aquatic vertebrates</x:v>
      </x:c>
      <x:c r="D5" s="26" t="str">
        <x:v>Invasive fish or other aquatic pest species</x:v>
      </x:c>
      <x:c r="E5" s="26" t="str">
        <x:v>Underwater optical/acoustic sensing recognizes target; control interface authorizes capture or other legally permitted lethal action within a defined zone.</x:v>
      </x:c>
      <x:c r="F5" s="26" t="str">
        <x:v>Describe turbidity/lighting compensation, underwater sensor housing, target tracking, exclusion of non-target fish, and authorized capture/euthanasia embodiment.</x:v>
      </x:c>
      <x:c r="G5" s="26" t="str">
        <x:v>AI-proposed representative embodiment</x:v>
      </x:c>
      <x:c r="H5" s="26" t="str">
        <x:v>Proposed</x:v>
      </x:c>
      <x:c r="I5" s="26" t="str">
        <x:v>High breadth risk; substantially different environment and actuator constraints.</x:v>
      </x:c>
      <x:c r="J5" s="26" t="str">
        <x:v>[0012], [0030]-[0058], [0095]-[0118], [0130]-[0155]</x:v>
      </x:c>
      <x:c r="K5" s="26" t="str">
        <x:v>Required</x:v>
      </x:c>
    </x:row>
    <x:row r="6">
      <x:c r="A6" s="26" t="str">
        <x:v>PST-05</x:v>
      </x:c>
      <x:c r="B6" s="26" t="str">
        <x:v>Pest class</x:v>
      </x:c>
      <x:c r="C6" s="26" t="str">
        <x:v>Reptiles / amphibians</x:v>
      </x:c>
      <x:c r="D6" s="26" t="str">
        <x:v>Invasive reptiles or amphibians where lawful</x:v>
      </x:c>
      <x:c r="E6" s="26" t="str">
        <x:v>Visual/thermal classifier + target persistence + zone gating + control interface.</x:v>
      </x:c>
      <x:c r="F6" s="26" t="str">
        <x:v>Describe temperature-dependent sensing, scale/shape features, protected-species exclusion, and approved control embodiment.</x:v>
      </x:c>
      <x:c r="G6" s="26" t="str">
        <x:v>AI-proposed representative embodiment</x:v>
      </x:c>
      <x:c r="H6" s="26" t="str">
        <x:v>Proposed</x:v>
      </x:c>
      <x:c r="I6" s="26" t="str">
        <x:v>Inventor confirmation; jurisdiction-specific wildlife restrictions.</x:v>
      </x:c>
      <x:c r="J6" s="26" t="str">
        <x:v>[0012], [0030]-[0058], [0095]-[0118], [0130]-[0155]</x:v>
      </x:c>
      <x:c r="K6" s="26" t="str">
        <x:v>Required</x:v>
      </x:c>
    </x:row>
    <x:row r="7">
      <x:c r="A7" s="26" t="str">
        <x:v>PST-06</x:v>
      </x:c>
      <x:c r="B7" s="26" t="str">
        <x:v>Pest class</x:v>
      </x:c>
      <x:c r="C7" s="26" t="str">
        <x:v>Feral swine / Sus scrofa</x:v>
      </x:c>
      <x:c r="D7" s="26" t="str">
        <x:v>Individual boar; sow; juvenile; sounder; local population</x:v>
      </x:c>
      <x:c r="E7" s="26" t="str">
        <x:v>Multimodal observation supports species recognition, optional individual re-identification, roster/group-state estimation, and conditional control authorization.</x:v>
      </x:c>
      <x:c r="F7" s="26" t="str">
        <x:v>Describe sounder structure, roster maintenance, unknown/new-member handling, temporal windows, group-completeness criteria, and non-target interlocks.</x:v>
      </x:c>
      <x:c r="G7" s="26" t="str">
        <x:v>Project core; transcript; APHIS whole-sounder guidance; USDA recognition patent</x:v>
      </x:c>
      <x:c r="H7" s="26" t="str">
        <x:v>Core</x:v>
      </x:c>
      <x:c r="I7" s="26" t="str">
        <x:v>Prior-art risk substantial; technical distinction likely lies in population-state/completeness/control logic rather than species recognition alone.</x:v>
      </x:c>
      <x:c r="J7" s="26" t="str">
        <x:v>[0015]-[0028], [0040]-[0094], [0190]-[0260]</x:v>
      </x:c>
      <x:c r="K7" s="26" t="str">
        <x:v>Concept confirmed; implementation detail to complete</x:v>
      </x:c>
    </x:row>
    <x:row r="8">
      <x:c r="A8" s="26" t="str">
        <x:v>PST-07</x:v>
      </x:c>
      <x:c r="B8" s="26" t="str">
        <x:v>Pest class</x:v>
      </x:c>
      <x:c r="C8" s="26" t="str">
        <x:v>Other pests defined by context</x:v>
      </x:c>
      <x:c r="D8" s="26" t="str">
        <x:v>Any animal or organism designated for control under applicable law/site policy</x:v>
      </x:c>
      <x:c r="E8" s="26" t="str">
        <x:v>Target definition is a configurable class or identity set; sensor/decision/control stack is adapted to the target's observable characteristics and permitted control mode.</x:v>
      </x:c>
      <x:c r="F8" s="26" t="str">
        <x:v>Define 'pest' functionally but pair genus statement with representative embodiments and a common architecture.</x:v>
      </x:c>
      <x:c r="G8" s="26" t="str">
        <x:v>Project broad scope + USPTO genus guidance</x:v>
      </x:c>
      <x:c r="H8" s="26" t="str">
        <x:v>Partial</x:v>
      </x:c>
      <x:c r="I8" s="26" t="str">
        <x:v>Do not rely on definition alone; representative implementations required for full-scope written description/enablement.</x:v>
      </x:c>
      <x:c r="J8" s="26" t="str">
        <x:v>[0006]-[0013], [0020]-[0028]</x:v>
      </x:c>
      <x:c r="K8" s="26" t="str">
        <x:v>Confirm</x:v>
      </x:c>
    </x:row>
    <x:row r="9">
      <x:c r="A9" s="26" t="str">
        <x:v>REC-01</x:v>
      </x:c>
      <x:c r="B9" s="26" t="str">
        <x:v>Recognition modality</x:v>
      </x:c>
      <x:c r="C9" s="26" t="str">
        <x:v>Visible-light video</x:v>
      </x:c>
      <x:c r="D9" s="26" t="str">
        <x:v>RGB camera; monochrome video; low-light camera</x:v>
      </x:c>
      <x:c r="E9" s="26" t="str">
        <x:v>Frame acquisition -&gt; detection -&gt; tracking -&gt; classification/re-identification -&gt; confidence aggregation.</x:v>
      </x:c>
      <x:c r="F9" s="26" t="str">
        <x:v>Camera placement, frame sampling, region-of-interest, multi-frame persistence, occlusion handling, and calibration.</x:v>
      </x:c>
      <x:c r="G9" s="26" t="str">
        <x:v>Project core; USDA recognition patent</x:v>
      </x:c>
      <x:c r="H9" s="26" t="str">
        <x:v>Core</x:v>
      </x:c>
      <x:c r="I9" s="26" t="str">
        <x:v>Prior art risk; must distinguish downstream decision architecture.</x:v>
      </x:c>
      <x:c r="J9" s="26" t="str">
        <x:v>[0030]-[0046], [0050]-[0058]</x:v>
      </x:c>
      <x:c r="K9" s="26" t="str">
        <x:v>Concept confirmed; implementation detail to complete</x:v>
      </x:c>
    </x:row>
    <x:row r="10">
      <x:c r="A10" s="26" t="str">
        <x:v>REC-02</x:v>
      </x:c>
      <x:c r="B10" s="26" t="str">
        <x:v>Recognition modality</x:v>
      </x:c>
      <x:c r="C10" s="26" t="str">
        <x:v>Still imagery</x:v>
      </x:c>
      <x:c r="D10" s="26" t="str">
        <x:v>Triggered still images; burst capture</x:v>
      </x:c>
      <x:c r="E10" s="26" t="str">
        <x:v>Image capture followed by classification and optional identity matching.</x:v>
      </x:c>
      <x:c r="F10" s="26" t="str">
        <x:v>Trigger sources, image quality checks, repeated images, rejection of low-quality observations.</x:v>
      </x:c>
      <x:c r="G10" s="26" t="str">
        <x:v>AI drafting expansion</x:v>
      </x:c>
      <x:c r="H10" s="26" t="str">
        <x:v>Proposed</x:v>
      </x:c>
      <x:c r="I10" s="26" t="str">
        <x:v>Enablement straightforward but confirm inventor possession.</x:v>
      </x:c>
      <x:c r="J10" s="26" t="str">
        <x:v>[0032]-[0046]</x:v>
      </x:c>
      <x:c r="K10" s="26" t="str">
        <x:v>Required</x:v>
      </x:c>
    </x:row>
    <x:row r="11">
      <x:c r="A11" s="26" t="str">
        <x:v>REC-03</x:v>
      </x:c>
      <x:c r="B11" s="26" t="str">
        <x:v>Recognition modality</x:v>
      </x:c>
      <x:c r="C11" s="26" t="str">
        <x:v>Infrared / thermal</x:v>
      </x:c>
      <x:c r="D11" s="26" t="str">
        <x:v>Thermal imager; IR illumination + camera</x:v>
      </x:c>
      <x:c r="E11" s="26" t="str">
        <x:v>Thermal/IR observation augments or substitutes visible imagery under low light.</x:v>
      </x:c>
      <x:c r="F11" s="26" t="str">
        <x:v>Sensor calibration, temperature/contrast conditions, fusion with visible imagery, failure on insufficient contrast.</x:v>
      </x:c>
      <x:c r="G11" s="26" t="str">
        <x:v>AI drafting expansion; common sensing knowledge</x:v>
      </x:c>
      <x:c r="H11" s="26" t="str">
        <x:v>Proposed</x:v>
      </x:c>
      <x:c r="I11" s="26" t="str">
        <x:v>Need inventor confirmation and implementation detail.</x:v>
      </x:c>
      <x:c r="J11" s="26" t="str">
        <x:v>[0033]-[0046], [0052]-[0058]</x:v>
      </x:c>
      <x:c r="K11" s="26" t="str">
        <x:v>Required</x:v>
      </x:c>
    </x:row>
    <x:row r="12">
      <x:c r="A12" s="26" t="str">
        <x:v>REC-04</x:v>
      </x:c>
      <x:c r="B12" s="26" t="str">
        <x:v>Recognition modality</x:v>
      </x:c>
      <x:c r="C12" s="26" t="str">
        <x:v>Audio / acoustic</x:v>
      </x:c>
      <x:c r="D12" s="26" t="str">
        <x:v>Microphone array; contact microphone; single microphone</x:v>
      </x:c>
      <x:c r="E12" s="26" t="str">
        <x:v>Audio windows -&gt; spectral/time-domain features or learned embeddings -&gt; species/event confidence.</x:v>
      </x:c>
      <x:c r="F12" s="26" t="str">
        <x:v>Sampling windows, background-noise rejection, multiple simultaneous animals, fusion with video, confidence thresholds.</x:v>
      </x:c>
      <x:c r="G12" s="26" t="str">
        <x:v>Project core; transcript LSU lead; USDA dual-sensory patent</x:v>
      </x:c>
      <x:c r="H12" s="26" t="str">
        <x:v>Core</x:v>
      </x:c>
      <x:c r="I12" s="26" t="str">
        <x:v>Strong prior art around feral-swine audio recognition; use as component rather than novelty assumption.</x:v>
      </x:c>
      <x:c r="J12" s="26" t="str">
        <x:v>[0035]-[0048], [0052]-[0058]</x:v>
      </x:c>
      <x:c r="K12" s="26" t="str">
        <x:v>Concept confirmed; implementation detail to complete</x:v>
      </x:c>
    </x:row>
    <x:row r="13">
      <x:c r="A13" s="26" t="str">
        <x:v>REC-05</x:v>
      </x:c>
      <x:c r="B13" s="26" t="str">
        <x:v>Recognition modality</x:v>
      </x:c>
      <x:c r="C13" s="26" t="str">
        <x:v>Radar / ranging</x:v>
      </x:c>
      <x:c r="D13" s="26" t="str">
        <x:v>Radar; lidar; time-of-flight; ultrasonic ranging</x:v>
      </x:c>
      <x:c r="E13" s="26" t="str">
        <x:v>Range/velocity/shape features supplement target localization/classification.</x:v>
      </x:c>
      <x:c r="F13" s="26" t="str">
        <x:v>Sensor field of view, range gating, motion discrimination, fusion with visual/acoustic features.</x:v>
      </x:c>
      <x:c r="G13" s="26" t="str">
        <x:v>AI drafting expansion</x:v>
      </x:c>
      <x:c r="H13" s="26" t="str">
        <x:v>Proposed</x:v>
      </x:c>
      <x:c r="I13" s="26" t="str">
        <x:v>Inventor confirmation required.</x:v>
      </x:c>
      <x:c r="J13" s="26" t="str">
        <x:v>[0036]-[0048], [0052]-[0058]</x:v>
      </x:c>
      <x:c r="K13" s="26" t="str">
        <x:v>Required</x:v>
      </x:c>
    </x:row>
    <x:row r="14">
      <x:c r="A14" s="26" t="str">
        <x:v>REC-06</x:v>
      </x:c>
      <x:c r="B14" s="26" t="str">
        <x:v>Recognition modality</x:v>
      </x:c>
      <x:c r="C14" s="26" t="str">
        <x:v>Tagged / cooperative identification</x:v>
      </x:c>
      <x:c r="D14" s="26" t="str">
        <x:v>RFID; GNSS collar; beacon; transponder</x:v>
      </x:c>
      <x:c r="E14" s="26" t="str">
        <x:v>Tag identity is treated as one evidence channel in the population registry.</x:v>
      </x:c>
      <x:c r="F14" s="26" t="str">
        <x:v>Tag enrollment, stale/missing tag handling, tag spoofing/error, use with untagged observations.</x:v>
      </x:c>
      <x:c r="G14" s="26" t="str">
        <x:v>AI drafting expansion; Judas-pig/GPS practices as context</x:v>
      </x:c>
      <x:c r="H14" s="26" t="str">
        <x:v>Proposed</x:v>
      </x:c>
      <x:c r="I14" s="26" t="str">
        <x:v>Useful fallback support but may be operationally distinct from passive recognition.</x:v>
      </x:c>
      <x:c r="J14" s="26" t="str">
        <x:v>[0037], [0065]-[0094]</x:v>
      </x:c>
      <x:c r="K14" s="26" t="str">
        <x:v>Required</x:v>
      </x:c>
    </x:row>
    <x:row r="15">
      <x:c r="A15" s="26" t="str">
        <x:v>REC-07</x:v>
      </x:c>
      <x:c r="B15" s="26" t="str">
        <x:v>Recognition modality</x:v>
      </x:c>
      <x:c r="C15" s="26" t="str">
        <x:v>Multimodal sensor fusion</x:v>
      </x:c>
      <x:c r="D15" s="26" t="str">
        <x:v>Any two or more of video, thermal, audio, ranging, tags</x:v>
      </x:c>
      <x:c r="E15" s="26" t="str">
        <x:v>Independent or joint confidence values are fused under configurable rules or a trained fusion model.</x:v>
      </x:c>
      <x:c r="F15" s="26" t="str">
        <x:v>AND/OR gating, weighted confidence, conflict resolution, modality health status, fail-safe response when modalities disagree.</x:v>
      </x:c>
      <x:c r="G15" s="26" t="str">
        <x:v>Project core; USDA dual-sensory patent</x:v>
      </x:c>
      <x:c r="H15" s="26" t="str">
        <x:v>Core</x:v>
      </x:c>
      <x:c r="I15" s="26" t="str">
        <x:v>Prior art on fusion; disclose implementation as support, not presumed point of novelty.</x:v>
      </x:c>
      <x:c r="J15" s="26" t="str">
        <x:v>[0050]-[0058], [0095]-[0118]</x:v>
      </x:c>
      <x:c r="K15" s="26" t="str">
        <x:v>Concept confirmed; implementation detail to complete</x:v>
      </x:c>
    </x:row>
    <x:row r="16">
      <x:c r="A16" s="26" t="str">
        <x:v>OUT-01</x:v>
      </x:c>
      <x:c r="B16" s="26" t="str">
        <x:v>Recognition output</x:v>
      </x:c>
      <x:c r="C16" s="26" t="str">
        <x:v>Species / class identification</x:v>
      </x:c>
      <x:c r="D16" s="26" t="str">
        <x:v>Target species versus non-target class</x:v>
      </x:c>
      <x:c r="E16" s="26" t="str">
        <x:v>Classifier emits class probability/score plus unknown or reject state.</x:v>
      </x:c>
      <x:c r="F16" s="26" t="str">
        <x:v>Thresholds, calibration, unknown-class behavior, class hierarchy, false-positive handling.</x:v>
      </x:c>
      <x:c r="G16" s="26" t="str">
        <x:v>Project core</x:v>
      </x:c>
      <x:c r="H16" s="26" t="str">
        <x:v>Core</x:v>
      </x:c>
      <x:c r="I16" s="26" t="str">
        <x:v>Need concrete reject/unknown semantics.</x:v>
      </x:c>
      <x:c r="J16" s="26" t="str">
        <x:v>[0040]-[0058]</x:v>
      </x:c>
      <x:c r="K16" s="26" t="str">
        <x:v>Confirm</x:v>
      </x:c>
    </x:row>
    <x:row r="17">
      <x:c r="A17" s="26" t="str">
        <x:v>OUT-02</x:v>
      </x:c>
      <x:c r="B17" s="26" t="str">
        <x:v>Recognition output</x:v>
      </x:c>
      <x:c r="C17" s="26" t="str">
        <x:v>Individual re-identification</x:v>
      </x:c>
      <x:c r="D17" s="26" t="str">
        <x:v>Recognized individual A/B/C; persistent pseudonymous ID</x:v>
      </x:c>
      <x:c r="E17" s="26" t="str">
        <x:v>Track/appearance/acoustic features are associated over time with a population registry.</x:v>
      </x:c>
      <x:c r="F17" s="26" t="str">
        <x:v>Enrollment, feature embeddings, re-ID confidence, merged/split identities, aging/appearance change, manual correction.</x:v>
      </x:c>
      <x:c r="G17" s="26" t="str">
        <x:v>AI-proposed technical elaboration of project core</x:v>
      </x:c>
      <x:c r="H17" s="26" t="str">
        <x:v>Proposed</x:v>
      </x:c>
      <x:c r="I17" s="26" t="str">
        <x:v>Central to 'all members present'; inventor must confirm actual conception/implementation.</x:v>
      </x:c>
      <x:c r="J17" s="26" t="str">
        <x:v>[0065]-[0082]</x:v>
      </x:c>
      <x:c r="K17" s="26" t="str">
        <x:v>Concept confirmed; implementation detail to complete</x:v>
      </x:c>
    </x:row>
    <x:row r="18">
      <x:c r="A18" s="26" t="str">
        <x:v>OUT-03</x:v>
      </x:c>
      <x:c r="B18" s="26" t="str">
        <x:v>Recognition output</x:v>
      </x:c>
      <x:c r="C18" s="26" t="str">
        <x:v>Count estimation</x:v>
      </x:c>
      <x:c r="D18" s="26" t="str">
        <x:v>Number of targets presently observed</x:v>
      </x:c>
      <x:c r="E18" s="26" t="str">
        <x:v>Detector/tracker counts distinct tracks or estimates occupancy.</x:v>
      </x:c>
      <x:c r="F18" s="26" t="str">
        <x:v>Occlusion handling, double-count prevention, uncertainty interval, minimum dwell time.</x:v>
      </x:c>
      <x:c r="G18" s="26" t="str">
        <x:v>USDA recognition patent; trapping practice</x:v>
      </x:c>
      <x:c r="H18" s="26" t="str">
        <x:v>Supported</x:v>
      </x:c>
      <x:c r="I18" s="26" t="str">
        <x:v>Counting alone is prior art; useful component only.</x:v>
      </x:c>
      <x:c r="J18" s="26" t="str">
        <x:v>[0060]-[0068], [0085]-[0094]</x:v>
      </x:c>
      <x:c r="K18" s="26" t="str">
        <x:v>Confirm</x:v>
      </x:c>
    </x:row>
    <x:row r="19">
      <x:c r="A19" s="26" t="str">
        <x:v>OUT-04</x:v>
      </x:c>
      <x:c r="B19" s="26" t="str">
        <x:v>Recognition output</x:v>
      </x:c>
      <x:c r="C19" s="26" t="str">
        <x:v>Group / sounder association</x:v>
      </x:c>
      <x:c r="D19" s="26" t="str">
        <x:v>Association of individuals with a recurring local group</x:v>
      </x:c>
      <x:c r="E19" s="26" t="str">
        <x:v>Registry stores co-occurrence, spatial, temporal, and identity evidence to assign group membership.</x:v>
      </x:c>
      <x:c r="F19" s="26" t="str">
        <x:v>Group creation, membership confidence, subgroup split/merge, solitary boars, temporary visitors.</x:v>
      </x:c>
      <x:c r="G19" s="26" t="str">
        <x:v>Project core + APHIS sounder biology</x:v>
      </x:c>
      <x:c r="H19" s="26" t="str">
        <x:v>Proposed/Core</x:v>
      </x:c>
      <x:c r="I19" s="26" t="str">
        <x:v>Requires concrete definition of 'local population' and membership transitions.</x:v>
      </x:c>
      <x:c r="J19" s="26" t="str">
        <x:v>[0070]-[0094]</x:v>
      </x:c>
      <x:c r="K19" s="26" t="str">
        <x:v>Concept confirmed; implementation detail to complete</x:v>
      </x:c>
    </x:row>
    <x:row r="20">
      <x:c r="A20" s="26" t="str">
        <x:v>OUT-05</x:v>
      </x:c>
      <x:c r="B20" s="26" t="str">
        <x:v>Recognition output</x:v>
      </x:c>
      <x:c r="C20" s="26" t="str">
        <x:v>Unknown / non-target state</x:v>
      </x:c>
      <x:c r="D20" s="26" t="str">
        <x:v>Animal detected but not confidently target or known member</x:v>
      </x:c>
      <x:c r="E20" s="26" t="str">
        <x:v>Unknown state inhibits specified control modes or escalates for human review.</x:v>
      </x:c>
      <x:c r="F20" s="26" t="str">
        <x:v>Unknown threshold, abstention/reject class, timeout, repeated-observation resolution.</x:v>
      </x:c>
      <x:c r="G20" s="26" t="str">
        <x:v>Safety architecture; AI drafting expansion</x:v>
      </x:c>
      <x:c r="H20" s="26" t="str">
        <x:v>Proposed</x:v>
      </x:c>
      <x:c r="I20" s="26" t="str">
        <x:v>Important for enablement/safety and selectivity.</x:v>
      </x:c>
      <x:c r="J20" s="26" t="str">
        <x:v>[0048]-[0058], [0100]-[0118], [0160]-[0180]</x:v>
      </x:c>
      <x:c r="K20" s="26" t="str">
        <x:v>Required</x:v>
      </x:c>
    </x:row>
    <x:row r="21">
      <x:c r="A21" s="26" t="str">
        <x:v>OUT-06</x:v>
      </x:c>
      <x:c r="B21" s="26" t="str">
        <x:v>Recognition output</x:v>
      </x:c>
      <x:c r="C21" s="26" t="str">
        <x:v>Presence persistence</x:v>
      </x:c>
      <x:c r="D21" s="26" t="str">
        <x:v>Target must persist across frames/time window</x:v>
      </x:c>
      <x:c r="E21" s="26" t="str">
        <x:v>Evidence accumulator rejects transient classifications.</x:v>
      </x:c>
      <x:c r="F21" s="26" t="str">
        <x:v>Rolling window, minimum observations, missing-frame tolerance, track continuity.</x:v>
      </x:c>
      <x:c r="G21" s="26" t="str">
        <x:v>AI drafting expansion</x:v>
      </x:c>
      <x:c r="H21" s="26" t="str">
        <x:v>Proposed</x:v>
      </x:c>
      <x:c r="I21" s="26" t="str">
        <x:v>Inventor confirmation.</x:v>
      </x:c>
      <x:c r="J21" s="26" t="str">
        <x:v>[0085]-[0110]</x:v>
      </x:c>
      <x:c r="K21" s="26" t="str">
        <x:v>Required</x:v>
      </x:c>
    </x:row>
    <x:row r="22">
      <x:c r="A22" s="26" t="str">
        <x:v>OUT-07</x:v>
      </x:c>
      <x:c r="B22" s="26" t="str">
        <x:v>Recognition output</x:v>
      </x:c>
      <x:c r="C22" s="26" t="str">
        <x:v>Population completeness state</x:v>
      </x:c>
      <x:c r="D22" s="26" t="str">
        <x:v>All required members, a configured fraction, or a configured count are present</x:v>
      </x:c>
      <x:c r="E22" s="26" t="str">
        <x:v>Decision engine compares observed identities/counts with an active roster and completeness rule.</x:v>
      </x:c>
      <x:c r="F22" s="26" t="str">
        <x:v>Define active roster, required-member set, recency window, unknown-member rule, confidence aggregation, abort/rearm.</x:v>
      </x:c>
      <x:c r="G22" s="26" t="str">
        <x:v>Project core; whole-sounder context</x:v>
      </x:c>
      <x:c r="H22" s="26" t="str">
        <x:v>Core/Gap</x:v>
      </x:c>
      <x:c r="I22" s="26" t="str">
        <x:v>Potential distinguishing area but needs inventor-confirmed algorithmic detail.</x:v>
      </x:c>
      <x:c r="J22" s="26" t="str">
        <x:v>[0085]-[0118], [0210]-[0260]</x:v>
      </x:c>
      <x:c r="K22" s="26" t="str">
        <x:v>Concept confirmed; implementation detail to complete</x:v>
      </x:c>
    </x:row>
    <x:row r="23">
      <x:c r="A23" s="26" t="str">
        <x:v>DEC-01</x:v>
      </x:c>
      <x:c r="B23" s="26" t="str">
        <x:v>Decision logic</x:v>
      </x:c>
      <x:c r="C23" s="26" t="str">
        <x:v>Threshold gating</x:v>
      </x:c>
      <x:c r="D23" s="26" t="str">
        <x:v>Authorize only when target confidence exceeds threshold(s)</x:v>
      </x:c>
      <x:c r="E23" s="26" t="str">
        <x:v>Thresholded state machine between sensing and control.</x:v>
      </x:c>
      <x:c r="F23" s="26" t="str">
        <x:v>Separate thresholds for species, identity, completeness, non-target risk; hysteresis optional.</x:v>
      </x:c>
      <x:c r="G23" s="26" t="str">
        <x:v>AI drafting expansion</x:v>
      </x:c>
      <x:c r="H23" s="26" t="str">
        <x:v>Proposed</x:v>
      </x:c>
      <x:c r="I23" s="26" t="str">
        <x:v>Avoid unsupported arbitrary numeric values unless inventor confirms.</x:v>
      </x:c>
      <x:c r="J23" s="26" t="str">
        <x:v>[0095]-[0118]</x:v>
      </x:c>
      <x:c r="K23" s="26" t="str">
        <x:v>Required</x:v>
      </x:c>
    </x:row>
    <x:row r="24">
      <x:c r="A24" s="26" t="str">
        <x:v>DEC-02</x:v>
      </x:c>
      <x:c r="B24" s="26" t="str">
        <x:v>Decision logic</x:v>
      </x:c>
      <x:c r="C24" s="26" t="str">
        <x:v>Temporal accumulation</x:v>
      </x:c>
      <x:c r="D24" s="26" t="str">
        <x:v>Accumulate evidence over multiple observations</x:v>
      </x:c>
      <x:c r="E24" s="26" t="str">
        <x:v>Rolling or event-based window converts observations into a stable state.</x:v>
      </x:c>
      <x:c r="F24" s="26" t="str">
        <x:v>Window start/stop, decay, stale observation removal, intermittent visibility.</x:v>
      </x:c>
      <x:c r="G24" s="26" t="str">
        <x:v>AI drafting expansion</x:v>
      </x:c>
      <x:c r="H24" s="26" t="str">
        <x:v>Proposed</x:v>
      </x:c>
      <x:c r="I24" s="26" t="str">
        <x:v>Inventor confirmation.</x:v>
      </x:c>
      <x:c r="J24" s="26" t="str">
        <x:v>[0085]-[0118]</x:v>
      </x:c>
      <x:c r="K24" s="26" t="str">
        <x:v>Concept confirmed; implementation detail to complete</x:v>
      </x:c>
    </x:row>
    <x:row r="25">
      <x:c r="A25" s="26" t="str">
        <x:v>DEC-03</x:v>
      </x:c>
      <x:c r="B25" s="26" t="str">
        <x:v>Decision logic</x:v>
      </x:c>
      <x:c r="C25" s="26" t="str">
        <x:v>Rule-based fusion</x:v>
      </x:c>
      <x:c r="D25" s="26" t="str">
        <x:v>Boolean/rule engine combines sensor outputs</x:v>
      </x:c>
      <x:c r="E25" s="26" t="str">
        <x:v>Example: visual target AND (audio target OR identity match) AND no non-target block.</x:v>
      </x:c>
      <x:c r="F25" s="26" t="str">
        <x:v>Configurable rules, precedence, conflict resolution, auditability.</x:v>
      </x:c>
      <x:c r="G25" s="26" t="str">
        <x:v>AI drafting expansion</x:v>
      </x:c>
      <x:c r="H25" s="26" t="str">
        <x:v>Proposed</x:v>
      </x:c>
      <x:c r="I25" s="26" t="str">
        <x:v>Concrete but inventor confirmation required.</x:v>
      </x:c>
      <x:c r="J25" s="26" t="str">
        <x:v>[0052]-[0058], [0095]-[0118]</x:v>
      </x:c>
      <x:c r="K25" s="26" t="str">
        <x:v>Required</x:v>
      </x:c>
    </x:row>
    <x:row r="26">
      <x:c r="A26" s="26" t="str">
        <x:v>DEC-04</x:v>
      </x:c>
      <x:c r="B26" s="26" t="str">
        <x:v>Decision logic</x:v>
      </x:c>
      <x:c r="C26" s="26" t="str">
        <x:v>Learned fusion</x:v>
      </x:c>
      <x:c r="D26" s="26" t="str">
        <x:v>Model combines features or modality scores</x:v>
      </x:c>
      <x:c r="E26" s="26" t="str">
        <x:v>Fusion model outputs target/control-authorization confidence.</x:v>
      </x:c>
      <x:c r="F26" s="26" t="str">
        <x:v>Training/inference separation, model versioning, calibration, fallback if model unavailable.</x:v>
      </x:c>
      <x:c r="G26" s="26" t="str">
        <x:v>USDA recognition patent context + AI expansion</x:v>
      </x:c>
      <x:c r="H26" s="26" t="str">
        <x:v>Proposed</x:v>
      </x:c>
      <x:c r="I26" s="26" t="str">
        <x:v>Prior art; include as alternative support.</x:v>
      </x:c>
      <x:c r="J26" s="26" t="str">
        <x:v>[0052]-[0058], [0098]-[0118]</x:v>
      </x:c>
      <x:c r="K26" s="26" t="str">
        <x:v>Required</x:v>
      </x:c>
    </x:row>
    <x:row r="27">
      <x:c r="A27" s="26" t="str">
        <x:v>DEC-05</x:v>
      </x:c>
      <x:c r="B27" s="26" t="str">
        <x:v>Decision logic</x:v>
      </x:c>
      <x:c r="C27" s="26" t="str">
        <x:v>Population roster state machine</x:v>
      </x:c>
      <x:c r="D27" s="26" t="str">
        <x:v>Candidate -&gt; confirmed -&gt; active -&gt; inactive/removed; unknown entries tracked</x:v>
      </x:c>
      <x:c r="E27" s="26" t="str">
        <x:v>Roster state changes based on repeated observations and operator/system rules.</x:v>
      </x:c>
      <x:c r="F27" s="26" t="str">
        <x:v>Transitions, evidence requirements, aging out, births/juveniles, deaths/removals, manual overrides.</x:v>
      </x:c>
      <x:c r="G27" s="26" t="str">
        <x:v>AI-proposed implementation of project core</x:v>
      </x:c>
      <x:c r="H27" s="26" t="str">
        <x:v>Proposed</x:v>
      </x:c>
      <x:c r="I27" s="26" t="str">
        <x:v>High-value support; must be inventor confirmed.</x:v>
      </x:c>
      <x:c r="J27" s="26" t="str">
        <x:v>[0065]-[0094], [0210]-[0260]</x:v>
      </x:c>
      <x:c r="K27" s="26" t="str">
        <x:v>Concept confirmed; implementation detail to complete</x:v>
      </x:c>
    </x:row>
    <x:row r="28">
      <x:c r="A28" s="26" t="str">
        <x:v>DEC-06</x:v>
      </x:c>
      <x:c r="B28" s="26" t="str">
        <x:v>Decision logic</x:v>
      </x:c>
      <x:c r="C28" s="26" t="str">
        <x:v>Human-in-the-loop authorization</x:v>
      </x:c>
      <x:c r="D28" s="26" t="str">
        <x:v>System recommends; authorized operator approves control event</x:v>
      </x:c>
      <x:c r="E28" s="26" t="str">
        <x:v>Machine recognition limits candidates while human command initiates control.</x:v>
      </x:c>
      <x:c r="F28" s="26" t="str">
        <x:v>Notification, live/recent evidence display, operator credentials, timeout, cancellation.</x:v>
      </x:c>
      <x:c r="G28" s="26" t="str">
        <x:v>APHIS remote trapping practice + project alternative</x:v>
      </x:c>
      <x:c r="H28" s="26" t="str">
        <x:v>Supported/Proposed</x:v>
      </x:c>
      <x:c r="I28" s="26" t="str">
        <x:v>May avoid overreliance on autonomous actuation; not presumed novel.</x:v>
      </x:c>
      <x:c r="J28" s="26" t="str">
        <x:v>[0108]-[0118], [0168]-[0180]</x:v>
      </x:c>
      <x:c r="K28" s="26" t="str">
        <x:v>Concept confirmed; implementation detail to complete</x:v>
      </x:c>
    </x:row>
    <x:row r="29">
      <x:c r="A29" s="26" t="str">
        <x:v>DEC-07</x:v>
      </x:c>
      <x:c r="B29" s="26" t="str">
        <x:v>Decision logic</x:v>
      </x:c>
      <x:c r="C29" s="26" t="str">
        <x:v>Autonomous authorization</x:v>
      </x:c>
      <x:c r="D29" s="26" t="str">
        <x:v>System initiates control when all configured gates are satisfied</x:v>
      </x:c>
      <x:c r="E29" s="26" t="str">
        <x:v>Control only after target, location, safety, population-state, and mechanism-health checks.</x:v>
      </x:c>
      <x:c r="F29" s="26" t="str">
        <x:v>Fail-safe default, watchdog, two-stage arm/fire-or-release logic, abort on stale/conflicting evidence.</x:v>
      </x:c>
      <x:c r="G29" s="26" t="str">
        <x:v>Project broad concept + AI elaboration</x:v>
      </x:c>
      <x:c r="H29" s="26" t="str">
        <x:v>Proposed</x:v>
      </x:c>
      <x:c r="I29" s="26" t="str">
        <x:v>Regulatory/deployment and safety risk; inventor confirmation required.</x:v>
      </x:c>
      <x:c r="J29" s="26" t="str">
        <x:v>[0095]-[0118], [0160]-[0180]</x:v>
      </x:c>
      <x:c r="K29" s="26" t="str">
        <x:v>Concept confirmed; implementation detail to complete</x:v>
      </x:c>
    </x:row>
    <x:row r="30">
      <x:c r="A30" s="26" t="str">
        <x:v>DEC-08</x:v>
      </x:c>
      <x:c r="B30" s="26" t="str">
        <x:v>Decision logic</x:v>
      </x:c>
      <x:c r="C30" s="26" t="str">
        <x:v>Geofence / zone / schedule gating</x:v>
      </x:c>
      <x:c r="D30" s="26" t="str">
        <x:v>Control enabled only in defined physical/temporal envelope</x:v>
      </x:c>
      <x:c r="E30" s="26" t="str">
        <x:v>Location/time condition is an independent authorization gate.</x:v>
      </x:c>
      <x:c r="F30" s="26" t="str">
        <x:v>Fixed polygon/zone, camera ROI, time windows, sunrise/sunset schedule, site-mode switching.</x:v>
      </x:c>
      <x:c r="G30" s="26" t="str">
        <x:v>AI drafting expansion</x:v>
      </x:c>
      <x:c r="H30" s="26" t="str">
        <x:v>Proposed</x:v>
      </x:c>
      <x:c r="I30" s="26" t="str">
        <x:v>Useful selectivity embodiment.</x:v>
      </x:c>
      <x:c r="J30" s="26" t="str">
        <x:v>[0100]-[0118], [0160]-[0180]</x:v>
      </x:c>
      <x:c r="K30" s="26" t="str">
        <x:v>Required</x:v>
      </x:c>
    </x:row>
    <x:row r="31">
      <x:c r="A31" s="26" t="str">
        <x:v>DEL-01</x:v>
      </x:c>
      <x:c r="B31" s="26" t="str">
        <x:v>Targeting / delivery</x:v>
      </x:c>
      <x:c r="C31" s="26" t="str">
        <x:v>Selective access</x:v>
      </x:c>
      <x:c r="D31" s="26" t="str">
        <x:v>Door, gate, barrier, compartment, or channel opens only for authorized target state</x:v>
      </x:c>
      <x:c r="E31" s="26" t="str">
        <x:v>Recognition/decision output controls physical access to lethal agent or mechanism.</x:v>
      </x:c>
      <x:c r="F31" s="26" t="str">
        <x:v>Actuator states, default-closed condition, tamper sensor, re-lock timeout, non-target block.</x:v>
      </x:c>
      <x:c r="G31" s="26" t="str">
        <x:v>Project concept; species-specific feeder prior art</x:v>
      </x:c>
      <x:c r="H31" s="26" t="str">
        <x:v>Core</x:v>
      </x:c>
      <x:c r="I31" s="26" t="str">
        <x:v>Strong prior art; combine with new group-state logic if supported.</x:v>
      </x:c>
      <x:c r="J31" s="26" t="str">
        <x:v>[0120]-[0134], [0140]-[0155]</x:v>
      </x:c>
      <x:c r="K31" s="26" t="str">
        <x:v>Concept confirmed; implementation detail to complete</x:v>
      </x:c>
    </x:row>
    <x:row r="32">
      <x:c r="A32" s="26" t="str">
        <x:v>DEL-02</x:v>
      </x:c>
      <x:c r="B32" s="26" t="str">
        <x:v>Targeting / delivery</x:v>
      </x:c>
      <x:c r="C32" s="26" t="str">
        <x:v>Selective dispensing</x:v>
      </x:c>
      <x:c r="D32" s="26" t="str">
        <x:v>A measured/limited portion is dispensed after authorization</x:v>
      </x:c>
      <x:c r="E32" s="26" t="str">
        <x:v>Controller enables dispenser only when gating conditions satisfied.</x:v>
      </x:c>
      <x:c r="F32" s="26" t="str">
        <x:v>Dose command abstracted to label-compliant quantity; inventory sensing; jam/failure detection; no operational toxicant recipe.</x:v>
      </x:c>
      <x:c r="G32" s="26" t="str">
        <x:v>Project concept</x:v>
      </x:c>
      <x:c r="H32" s="26" t="str">
        <x:v>Proposed/Core</x:v>
      </x:c>
      <x:c r="I32" s="26" t="str">
        <x:v>Regulatory controls; avoid unapproved use instructions.</x:v>
      </x:c>
      <x:c r="J32" s="26" t="str">
        <x:v>[0125]-[0134], [0140]-[0155]</x:v>
      </x:c>
      <x:c r="K32" s="26" t="str">
        <x:v>Concept confirmed; implementation detail to complete</x:v>
      </x:c>
    </x:row>
    <x:row r="33">
      <x:c r="A33" s="26" t="str">
        <x:v>DEL-03</x:v>
      </x:c>
      <x:c r="B33" s="26" t="str">
        <x:v>Targeting / delivery</x:v>
      </x:c>
      <x:c r="C33" s="26" t="str">
        <x:v>Selective timing</x:v>
      </x:c>
      <x:c r="D33" s="26" t="str">
        <x:v>Generally hazardous agent/mechanism is available only during target-confirmed window</x:v>
      </x:c>
      <x:c r="E33" s="26" t="str">
        <x:v>Time-limited enablement reduces non-target exposure.</x:v>
      </x:c>
      <x:c r="F33" s="26" t="str">
        <x:v>Arm window, automatic closure/disarm, revalidation while open, lockout after interruption.</x:v>
      </x:c>
      <x:c r="G33" s="26" t="str">
        <x:v>Project core</x:v>
      </x:c>
      <x:c r="H33" s="26" t="str">
        <x:v>Core</x:v>
      </x:c>
      <x:c r="I33" s="26" t="str">
        <x:v>Important distinction between selective exposure and nonselective toxicity.</x:v>
      </x:c>
      <x:c r="J33" s="26" t="str">
        <x:v>[0140]-[0155], [0160]-[0180]</x:v>
      </x:c>
      <x:c r="K33" s="26" t="str">
        <x:v>Concept confirmed; implementation detail to complete</x:v>
      </x:c>
    </x:row>
    <x:row r="34">
      <x:c r="A34" s="26" t="str">
        <x:v>DEL-04</x:v>
      </x:c>
      <x:c r="B34" s="26" t="str">
        <x:v>Targeting / delivery</x:v>
      </x:c>
      <x:c r="C34" s="26" t="str">
        <x:v>Selective spatial targeting</x:v>
      </x:c>
      <x:c r="D34" s="26" t="str">
        <x:v>Localized aim/zone follows target track</x:v>
      </x:c>
      <x:c r="E34" s="26" t="str">
        <x:v>Target localization is transformed into a control-zone or actuator command.</x:v>
      </x:c>
      <x:c r="F34" s="26" t="str">
        <x:v>Coordinate transform, tracking confidence, no-fire/no-actuate zones, lost-track abort.</x:v>
      </x:c>
      <x:c r="G34" s="26" t="str">
        <x:v>Project broad concept + AI expansion</x:v>
      </x:c>
      <x:c r="H34" s="26" t="str">
        <x:v>Proposed</x:v>
      </x:c>
      <x:c r="I34" s="26" t="str">
        <x:v>Do not overstate weaponized embodiments; keep pest-control/site-limited.</x:v>
      </x:c>
      <x:c r="J34" s="26" t="str">
        <x:v>[0100]-[0118], [0125]-[0134], [0160]-[0180]</x:v>
      </x:c>
      <x:c r="K34" s="26" t="str">
        <x:v>Required</x:v>
      </x:c>
    </x:row>
    <x:row r="35">
      <x:c r="A35" s="26" t="str">
        <x:v>DEL-05</x:v>
      </x:c>
      <x:c r="B35" s="26" t="str">
        <x:v>Targeting / delivery</x:v>
      </x:c>
      <x:c r="C35" s="26" t="str">
        <x:v>Selective capture then authorized euthanasia</x:v>
      </x:c>
      <x:c r="D35" s="26" t="str">
        <x:v>Trap closes when target/group criterion satisfied; separate lawful euthanasia step follows</x:v>
      </x:c>
      <x:c r="E35" s="26" t="str">
        <x:v>Recognition gates capture; lethal step may be manual or separate authorized system.</x:v>
      </x:c>
      <x:c r="F35" s="26" t="str">
        <x:v>Whole-sounder capture, non-target release procedure, operator confirmation, captured-state monitoring.</x:v>
      </x:c>
      <x:c r="G35" s="26" t="str">
        <x:v>Transcript; APHIS trapping guidance</x:v>
      </x:c>
      <x:c r="H35" s="26" t="str">
        <x:v>Supported</x:v>
      </x:c>
      <x:c r="I35" s="26" t="str">
        <x:v>Prior art on remote trapping; useful enablement/fallback embodiment.</x:v>
      </x:c>
      <x:c r="J35" s="26" t="str">
        <x:v>[0130]-[0134], [0200]-[0210]</x:v>
      </x:c>
      <x:c r="K35" s="26" t="str">
        <x:v>Confirm</x:v>
      </x:c>
    </x:row>
    <x:row r="36">
      <x:c r="A36" s="26" t="str">
        <x:v>DEL-06</x:v>
      </x:c>
      <x:c r="B36" s="26" t="str">
        <x:v>Targeting / delivery</x:v>
      </x:c>
      <x:c r="C36" s="26" t="str">
        <x:v>Target-triggered electrical interface</x:v>
      </x:c>
      <x:c r="D36" s="26" t="str">
        <x:v>Target recognition enables a confined electrical euthanasia/control structure</x:v>
      </x:c>
      <x:c r="E36" s="26" t="str">
        <x:v>Recognition and safety gate energization in target-only contact zone.</x:v>
      </x:c>
      <x:c r="F36" s="26" t="str">
        <x:v>Insulation, access control, fault detection, interlocks, de-energized default; no human-access state.</x:v>
      </x:c>
      <x:c r="G36" s="26" t="str">
        <x:v>Prior-art extermination device + project broad scope</x:v>
      </x:c>
      <x:c r="H36" s="26" t="str">
        <x:v>Supported</x:v>
      </x:c>
      <x:c r="I36" s="26" t="str">
        <x:v>Prior art high; include as representative species of lethal means, not novelty assumption.</x:v>
      </x:c>
      <x:c r="J36" s="26" t="str">
        <x:v>[0135]-[0139], [0160]-[0180]</x:v>
      </x:c>
      <x:c r="K36" s="26" t="str">
        <x:v>Confirm</x:v>
      </x:c>
    </x:row>
    <x:row r="37">
      <x:c r="A37" s="26" t="str">
        <x:v>DEL-07</x:v>
      </x:c>
      <x:c r="B37" s="26" t="str">
        <x:v>Targeting / delivery</x:v>
      </x:c>
      <x:c r="C37" s="26" t="str">
        <x:v>Authorized projectile / other directed lethal control</x:v>
      </x:c>
      <x:c r="D37" s="26" t="str">
        <x:v>Recognition output cues or gates a legally permitted directed-control device operated by an authorized user/system</x:v>
      </x:c>
      <x:c r="E37" s="26" t="str">
        <x:v>Target confirmation, exclusion zone, positive authorization, mechanism-ready signal, abort on track loss.</x:v>
      </x:c>
      <x:c r="F37" s="26" t="str">
        <x:v>Project broad concept</x:v>
      </x:c>
      <x:c r="G37" s="26" t="str">
        <x:v>Proposed</x:v>
      </x:c>
      <x:c r="H37" s="26" t="str">
        <x:v>High regulatory/safety sensitivity; disclose at functional integration level, not weapon construction detail.</x:v>
      </x:c>
      <x:c r="I37" s="26" t="str">
        <x:v>[0135]-[0139], [0160]-[0180]</x:v>
      </x:c>
      <x:c r="J37" s="26" t="str">
        <x:v>Required</x:v>
      </x:c>
      <x:c r="K37" s="26"/>
    </x:row>
    <x:row r="38">
      <x:c r="A38" s="26" t="str">
        <x:v>LET-01</x:v>
      </x:c>
      <x:c r="B38" s="26" t="str">
        <x:v>Lethal/control mechanism</x:v>
      </x:c>
      <x:c r="C38" s="26" t="str">
        <x:v>Registered toxicant / pesticide</x:v>
      </x:c>
      <x:c r="D38" s="26" t="str">
        <x:v>EPA-registered feral-hog bait or other target/site-approved product used according to its label</x:v>
      </x:c>
      <x:c r="E38" s="26" t="str">
        <x:v>System does not depend on chemical identity; it gates access/exposure/dispensing of an otherwise lethal composition.</x:v>
      </x:c>
      <x:c r="F38" s="26" t="str">
        <x:v>Identify classes and one lawful commercial example by reference; do not provide unapproved formulation or dosing instructions.</x:v>
      </x:c>
      <x:c r="G38" s="26" t="str">
        <x:v>EPA Kaput registration; project core</x:v>
      </x:c>
      <x:c r="H38" s="26" t="str">
        <x:v>Supported</x:v>
      </x:c>
      <x:c r="I38" s="26" t="str">
        <x:v>Patentability distinct from regulatory authorization; label/state restrictions control deployment.</x:v>
      </x:c>
      <x:c r="J38" s="26" t="str">
        <x:v>[0140]-[0155], [0240]-[0260]</x:v>
      </x:c>
      <x:c r="K38" s="26" t="str">
        <x:v>Concept confirmed; implementation detail to complete</x:v>
      </x:c>
    </x:row>
    <x:row r="39">
      <x:c r="A39" s="26" t="str">
        <x:v>LET-02</x:v>
      </x:c>
      <x:c r="B39" s="26" t="str">
        <x:v>Lethal/control mechanism</x:v>
      </x:c>
      <x:c r="C39" s="26" t="str">
        <x:v>Electrical euthanasia / electromechanical kill structure</x:v>
      </x:c>
      <x:c r="D39" s="26" t="str">
        <x:v>Confined electrical structure actuated only after target authorization</x:v>
      </x:c>
      <x:c r="E39" s="26" t="str">
        <x:v>Decision engine controls an isolated actuator with fault and human-access interlocks.</x:v>
      </x:c>
      <x:c r="F39" s="26" t="str">
        <x:v>Provide structural block diagram and default-safe states; do not claim novelty based solely on known structure.</x:v>
      </x:c>
      <x:c r="G39" s="26" t="str">
        <x:v>Prior art + project broad scope</x:v>
      </x:c>
      <x:c r="H39" s="26" t="str">
        <x:v>Supported</x:v>
      </x:c>
      <x:c r="I39" s="26" t="str">
        <x:v>Prior-art risk high.</x:v>
      </x:c>
      <x:c r="J39" s="26" t="str">
        <x:v>[0135]-[0139], [0160]-[0180]</x:v>
      </x:c>
      <x:c r="K39" s="26" t="str">
        <x:v>Confirm</x:v>
      </x:c>
    </x:row>
    <x:row r="40">
      <x:c r="A40" s="26" t="str">
        <x:v>LET-03</x:v>
      </x:c>
      <x:c r="B40" s="26" t="str">
        <x:v>Lethal/control mechanism</x:v>
      </x:c>
      <x:c r="C40" s="26" t="str">
        <x:v>Mechanical lethal trap</x:v>
      </x:c>
      <x:c r="D40" s="26" t="str">
        <x:v>Impact, compression, closure, or other lawful pest-control trap</x:v>
      </x:c>
      <x:c r="E40" s="26" t="str">
        <x:v>Recognition gate prevents non-target triggering or enables operator authorization.</x:v>
      </x:c>
      <x:c r="F40" s="26" t="str">
        <x:v>Mechanism interface, target-size constraints, safety shroud, reset/lockout state.</x:v>
      </x:c>
      <x:c r="G40" s="26" t="str">
        <x:v>AI drafting expansion/common pest-control class</x:v>
      </x:c>
      <x:c r="H40" s="26" t="str">
        <x:v>Proposed</x:v>
      </x:c>
      <x:c r="I40" s="26" t="str">
        <x:v>Inventor confirmation required.</x:v>
      </x:c>
      <x:c r="J40" s="26" t="str">
        <x:v>[0135]-[0139], [0200]-[0209]</x:v>
      </x:c>
      <x:c r="K40" s="26" t="str">
        <x:v>Required</x:v>
      </x:c>
    </x:row>
    <x:row r="41">
      <x:c r="A41" s="26" t="str">
        <x:v>LET-04</x:v>
      </x:c>
      <x:c r="B41" s="26" t="str">
        <x:v>Lethal/control mechanism</x:v>
      </x:c>
      <x:c r="C41" s="26" t="str">
        <x:v>Capture + subsequent euthanasia</x:v>
      </x:c>
      <x:c r="D41" s="26" t="str">
        <x:v>Corral/drop/cage capture followed by separately authorized euthanasia</x:v>
      </x:c>
      <x:c r="E41" s="26" t="str">
        <x:v>Recognition controls capture completeness; kill method can be external to automated system.</x:v>
      </x:c>
      <x:c r="F41" s="26" t="str">
        <x:v>Captured-state verification, operator workflow, non-target handling, event log.</x:v>
      </x:c>
      <x:c r="G41" s="26" t="str">
        <x:v>Transcript; APHIS whole-sounder trapping</x:v>
      </x:c>
      <x:c r="H41" s="26" t="str">
        <x:v>Supported</x:v>
      </x:c>
      <x:c r="I41" s="26" t="str">
        <x:v>Known practice; supports broad lethal-result pathway.</x:v>
      </x:c>
      <x:c r="J41" s="26" t="str">
        <x:v>[0200]-[0210]</x:v>
      </x:c>
      <x:c r="K41" s="26" t="str">
        <x:v>Confirm</x:v>
      </x:c>
    </x:row>
    <x:row r="42">
      <x:c r="A42" s="26" t="str">
        <x:v>LET-05</x:v>
      </x:c>
      <x:c r="B42" s="26" t="str">
        <x:v>Lethal/control mechanism</x:v>
      </x:c>
      <x:c r="C42" s="26" t="str">
        <x:v>Localized chemical treatment</x:v>
      </x:c>
      <x:c r="D42" s="26" t="str">
        <x:v>Target-localized application of a legally permitted lethal agent</x:v>
      </x:c>
      <x:c r="E42" s="26" t="str">
        <x:v>Classifier/localizer gates treatment in a bounded region.</x:v>
      </x:c>
      <x:c r="F42" s="26" t="str">
        <x:v>Reservoir/actuator abstracted; treatment only per applicable label/authorization; non-target block.</x:v>
      </x:c>
      <x:c r="G42" s="26" t="str">
        <x:v>AI drafting expansion</x:v>
      </x:c>
      <x:c r="H42" s="26" t="str">
        <x:v>Proposed</x:v>
      </x:c>
      <x:c r="I42" s="26" t="str">
        <x:v>Separate pest classes may require substantial implementation detail.</x:v>
      </x:c>
      <x:c r="J42" s="26" t="str">
        <x:v>[0135]-[0155]</x:v>
      </x:c>
      <x:c r="K42" s="26" t="str">
        <x:v>Required</x:v>
      </x:c>
    </x:row>
    <x:row r="43">
      <x:c r="A43" s="26" t="str">
        <x:v>LET-06</x:v>
      </x:c>
      <x:c r="B43" s="26" t="str">
        <x:v>Lethal/control mechanism</x:v>
      </x:c>
      <x:c r="C43" s="26" t="str">
        <x:v>Thermal / energy-based localized control</x:v>
      </x:c>
      <x:c r="D43" s="26" t="str">
        <x:v>Localized energy applied within a target-confined zone where lawful and technically appropriate</x:v>
      </x:c>
      <x:c r="E43" s="26" t="str">
        <x:v>Recognition and localization gate energy source; loss of target immediately disables.</x:v>
      </x:c>
      <x:c r="F43" s="26" t="str">
        <x:v>Shielding, range limits, interlocks, bounded target zone.</x:v>
      </x:c>
      <x:c r="G43" s="26" t="str">
        <x:v>AI drafting expansion</x:v>
      </x:c>
      <x:c r="H43" s="26" t="str">
        <x:v>Proposed</x:v>
      </x:c>
      <x:c r="I43" s="26" t="str">
        <x:v>High safety and enablement burden; include only if inventor confirms conception.</x:v>
      </x:c>
      <x:c r="J43" s="26" t="str">
        <x:v>[0135]-[0139], [0160]-[0180]</x:v>
      </x:c>
      <x:c r="K43" s="26" t="str">
        <x:v>Required</x:v>
      </x:c>
    </x:row>
    <x:row r="44">
      <x:c r="A44" s="26" t="str">
        <x:v>LET-07</x:v>
      </x:c>
      <x:c r="B44" s="26" t="str">
        <x:v>Lethal/control mechanism</x:v>
      </x:c>
      <x:c r="C44" s="26" t="str">
        <x:v>Combination / staged control</x:v>
      </x:c>
      <x:c r="D44" s="26" t="str">
        <x:v>First trap or restrict; then apply separate lethal mechanism</x:v>
      </x:c>
      <x:c r="E44" s="26" t="str">
        <x:v>Decision engine sequences two or more control stages with verification between stages.</x:v>
      </x:c>
      <x:c r="F44" s="26" t="str">
        <x:v>State machine, stage completion sensing, abort/recovery, operator override.</x:v>
      </x:c>
      <x:c r="G44" s="26" t="str">
        <x:v>Project broad strategy + APHIS integrated management context</x:v>
      </x:c>
      <x:c r="H44" s="26" t="str">
        <x:v>Proposed/Core</x:v>
      </x:c>
      <x:c r="I44" s="26" t="str">
        <x:v>Potentially useful architecture; inventor confirmation.</x:v>
      </x:c>
      <x:c r="J44" s="26" t="str">
        <x:v>[0110]-[0118], [0120]-[0155], [0200]-[0210]</x:v>
      </x:c>
      <x:c r="K44" s="26" t="str">
        <x:v>Concept confirmed; implementation detail to complete</x:v>
      </x:c>
    </x:row>
    <x:row r="45">
      <x:c r="A45" s="26" t="str">
        <x:v>SAFE-01</x:v>
      </x:c>
      <x:c r="B45" s="26" t="str">
        <x:v>Safety / audit</x:v>
      </x:c>
      <x:c r="C45" s="26" t="str">
        <x:v>Non-target exclusion</x:v>
      </x:c>
      <x:c r="D45" s="26" t="str">
        <x:v>Any non-target or protected class can veto actuation</x:v>
      </x:c>
      <x:c r="E45" s="26" t="str">
        <x:v>Separate non-target classifier/risk score is a hard interlock.</x:v>
      </x:c>
      <x:c r="F45" s="26" t="str">
        <x:v>Protected-species list, human/pet detection, unknown-state veto, priority rules.</x:v>
      </x:c>
      <x:c r="G45" s="26" t="str">
        <x:v>Project safety objective; USDA recognition context</x:v>
      </x:c>
      <x:c r="H45" s="26" t="str">
        <x:v>Core/Proposed</x:v>
      </x:c>
      <x:c r="I45" s="26" t="str">
        <x:v>Essential for selective-control story; needs testable criteria.</x:v>
      </x:c>
      <x:c r="J45" s="26" t="str">
        <x:v>[0160]-[0172]</x:v>
      </x:c>
      <x:c r="K45" s="26" t="str">
        <x:v>Required</x:v>
      </x:c>
    </x:row>
    <x:row r="46">
      <x:c r="A46" s="26" t="str">
        <x:v>SAFE-02</x:v>
      </x:c>
      <x:c r="B46" s="26" t="str">
        <x:v>Safety / audit</x:v>
      </x:c>
      <x:c r="C46" s="26" t="str">
        <x:v>Human-presence interlock</x:v>
      </x:c>
      <x:c r="D46" s="26" t="str">
        <x:v>Human detection or access sensor disables lethal state</x:v>
      </x:c>
      <x:c r="E46" s="26" t="str">
        <x:v>Human detection is higher-priority than pest authorization.</x:v>
      </x:c>
      <x:c r="F46" s="26" t="str">
        <x:v>Camera/person classifier, enclosure access switch, credentialed maintenance mode, emergency stop.</x:v>
      </x:c>
      <x:c r="G46" s="26" t="str">
        <x:v>AI drafting expansion</x:v>
      </x:c>
      <x:c r="H46" s="26" t="str">
        <x:v>Proposed</x:v>
      </x:c>
      <x:c r="I46" s="26" t="str">
        <x:v>Inventor confirmation required.</x:v>
      </x:c>
      <x:c r="J46" s="26" t="str">
        <x:v>[0162]-[0172]</x:v>
      </x:c>
      <x:c r="K46" s="26" t="str">
        <x:v>Required</x:v>
      </x:c>
    </x:row>
    <x:row r="47">
      <x:c r="A47" s="26" t="str">
        <x:v>SAFE-03</x:v>
      </x:c>
      <x:c r="B47" s="26" t="str">
        <x:v>Safety / audit</x:v>
      </x:c>
      <x:c r="C47" s="26" t="str">
        <x:v>Fail-safe default</x:v>
      </x:c>
      <x:c r="D47" s="26" t="str">
        <x:v>Loss of power/comms/model health returns actuator to safe state</x:v>
      </x:c>
      <x:c r="E47" s="26" t="str">
        <x:v>Watchdog and state machine default to closed/disarmed.</x:v>
      </x:c>
      <x:c r="F47" s="26" t="str">
        <x:v>Brownout, network outage, sensor loss, stale model, actuator fault, recovery handshake.</x:v>
      </x:c>
      <x:c r="G47" s="26" t="str">
        <x:v>AI drafting expansion</x:v>
      </x:c>
      <x:c r="H47" s="26" t="str">
        <x:v>Proposed</x:v>
      </x:c>
      <x:c r="I47" s="26" t="str">
        <x:v>High-value concrete enablement.</x:v>
      </x:c>
      <x:c r="J47" s="26" t="str">
        <x:v>[0168]-[0180]</x:v>
      </x:c>
      <x:c r="K47" s="26" t="str">
        <x:v>Required</x:v>
      </x:c>
    </x:row>
    <x:row r="48">
      <x:c r="A48" s="26" t="str">
        <x:v>SAFE-04</x:v>
      </x:c>
      <x:c r="B48" s="26" t="str">
        <x:v>Safety / audit</x:v>
      </x:c>
      <x:c r="C48" s="26" t="str">
        <x:v>Audit log</x:v>
      </x:c>
      <x:c r="D48" s="26" t="str">
        <x:v>Record observations, scores, state changes, authorizations, actuator events, and overrides</x:v>
      </x:c>
      <x:c r="E48" s="26" t="str">
        <x:v>Tamper-evident or persistent event record supports review.</x:v>
      </x:c>
      <x:c r="F48" s="26" t="str">
        <x:v>Timestamp, sensor IDs, model version, target IDs, operator ID, reason code, mechanism state.</x:v>
      </x:c>
      <x:c r="G48" s="26" t="str">
        <x:v>AI drafting expansion</x:v>
      </x:c>
      <x:c r="H48" s="26" t="str">
        <x:v>Proposed</x:v>
      </x:c>
      <x:c r="I48" s="26" t="str">
        <x:v>Useful technical/safety distinction; inventor confirmation.</x:v>
      </x:c>
      <x:c r="J48" s="26" t="str">
        <x:v>[0182]-[0189]</x:v>
      </x:c>
      <x:c r="K48" s="26" t="str">
        <x:v>Required</x:v>
      </x:c>
    </x:row>
    <x:row r="49">
      <x:c r="A49" s="26" t="str">
        <x:v>SAFE-05</x:v>
      </x:c>
      <x:c r="B49" s="26" t="str">
        <x:v>Safety / audit</x:v>
      </x:c>
      <x:c r="C49" s="26" t="str">
        <x:v>Model / configuration version control</x:v>
      </x:c>
      <x:c r="D49" s="26" t="str">
        <x:v>Decision is associated with deployed model/configuration</x:v>
      </x:c>
      <x:c r="E49" s="26" t="str">
        <x:v>Controller stores version identifier and calibration metadata.</x:v>
      </x:c>
      <x:c r="F49" s="26" t="str">
        <x:v>Update process, rollback, approval, configuration hash/checksum.</x:v>
      </x:c>
      <x:c r="G49" s="26" t="str">
        <x:v>AI drafting expansion</x:v>
      </x:c>
      <x:c r="H49" s="26" t="str">
        <x:v>Proposed</x:v>
      </x:c>
      <x:c r="I49" s="26" t="str">
        <x:v>Software implementation detail; confirm.</x:v>
      </x:c>
      <x:c r="J49" s="26" t="str">
        <x:v>[0182]-[0189]</x:v>
      </x:c>
      <x:c r="K49" s="26" t="str">
        <x:v>Required</x:v>
      </x:c>
    </x:row>
    <x:row r="50">
      <x:c r="A50" s="26" t="str">
        <x:v>SAFE-06</x:v>
      </x:c>
      <x:c r="B50" s="26" t="str">
        <x:v>Safety / audit</x:v>
      </x:c>
      <x:c r="C50" s="26" t="str">
        <x:v>Mechanism-health verification</x:v>
      </x:c>
      <x:c r="D50" s="26" t="str">
        <x:v>Control event requires actuator/feeder/trap ready state</x:v>
      </x:c>
      <x:c r="E50" s="26" t="str">
        <x:v>Hardware self-check is independent gate.</x:v>
      </x:c>
      <x:c r="F50" s="26" t="str">
        <x:v>Door position, inventory level, jam sensor, battery, communications, enclosure access, reset state.</x:v>
      </x:c>
      <x:c r="G50" s="26" t="str">
        <x:v>AI drafting expansion</x:v>
      </x:c>
      <x:c r="H50" s="26" t="str">
        <x:v>Proposed</x:v>
      </x:c>
      <x:c r="I50" s="26" t="str">
        <x:v>Concrete implementation; confirm.</x:v>
      </x:c>
      <x:c r="J50" s="26" t="str">
        <x:v>[0120]-[0134], [0168]-[0180]</x:v>
      </x:c>
      <x:c r="K50" s="26" t="str">
        <x:v>Required</x:v>
      </x:c>
    </x:row>
  </x:sheetData>
  <x:dataValidations count="2">
    <x:dataValidation type="list" sqref="H2:H50">
      <x:formula1>"Core,Supported,Partial,Proposed,Core/Gap,Proposed/Core,Supported/Proposed"</x:formula1>
    </x:dataValidation>
    <x:dataValidation type="list" sqref="K2:K50">
      <x:formula1>"Confirm,Required,Not required"</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14" hidden="0" customWidth="1"/>
    <x:col min="3" max="3" width="46" hidden="0" customWidth="1"/>
    <x:col min="4" max="4" width="22" hidden="0" customWidth="1"/>
    <x:col min="5" max="5" width="16" hidden="0" customWidth="1"/>
    <x:col min="6" max="6" width="38" hidden="0" customWidth="1"/>
    <x:col min="7" max="7" width="42" hidden="0" customWidth="1"/>
    <x:col min="8" max="8" width="42" hidden="0" customWidth="1"/>
    <x:col min="9" max="9" width="28" hidden="0" customWidth="1"/>
    <x:col min="10" max="10" width="14" hidden="0" customWidth="1"/>
  </x:cols>
  <x:sheetData>
    <x:row r="1">
      <x:c r="A1" s="38" t="str">
        <x:v>Concept ID</x:v>
      </x:c>
      <x:c r="B1" s="38" t="str">
        <x:v>Level</x:v>
      </x:c>
      <x:c r="C1" s="38" t="str">
        <x:v>Contemplated claim concept / limitation</x:v>
      </x:c>
      <x:c r="D1" s="38" t="str">
        <x:v>Spec refs</x:v>
      </x:c>
      <x:c r="E1" s="38" t="str">
        <x:v>Current support</x:v>
      </x:c>
      <x:c r="F1" s="38" t="str">
        <x:v>Representative embodiment(s)</x:v>
      </x:c>
      <x:c r="G1" s="38" t="str">
        <x:v>Prior-art / §112 issue</x:v>
      </x:c>
      <x:c r="H1" s="38" t="str">
        <x:v>Support gap / action</x:v>
      </x:c>
      <x:c r="I1" s="38" t="str">
        <x:v>Provisional filing role</x:v>
      </x:c>
      <x:c r="J1" s="38" t="str">
        <x:v>Last updated</x:v>
      </x:c>
    </x:row>
    <x:row r="2">
      <x:c r="A2" s="26" t="str">
        <x:v>B-01</x:v>
      </x:c>
      <x:c r="B2" s="26" t="str">
        <x:v>Broad</x:v>
      </x:c>
      <x:c r="C2" s="26" t="str">
        <x:v>Identify a pest using video recognition technology</x:v>
      </x:c>
      <x:c r="D2" s="26" t="str">
        <x:v>[0006]-[0013], [0030]-[0058]</x:v>
      </x:c>
      <x:c r="E2" s="26" t="str">
        <x:v>Partial</x:v>
      </x:c>
      <x:c r="F2" s="26" t="str">
        <x:v>Feral swine visible-video pipeline; proposed mammal/bird/insect variants</x:v>
      </x:c>
      <x:c r="G2" s="26" t="str">
        <x:v>US10368539B2 and USDA recognition art create high patentability risk; 'pest' genus also needs representative embodiments.</x:v>
      </x:c>
      <x:c r="H2" s="26" t="str">
        <x:v>Confirm representative non-swine implementations and common architecture.</x:v>
      </x:c>
      <x:c r="I2" s="26" t="str">
        <x:v>Support probe; not filing gate</x:v>
      </x:c>
      <x:c r="J2" s="28" t="n">
        <x:v>46268</x:v>
      </x:c>
    </x:row>
    <x:row r="3">
      <x:c r="A3" s="26" t="str">
        <x:v>B-02</x:v>
      </x:c>
      <x:c r="B3" s="26" t="str">
        <x:v>Broad</x:v>
      </x:c>
      <x:c r="C3" s="26" t="str">
        <x:v>Use a lethal means to kill the identified pest</x:v>
      </x:c>
      <x:c r="D3" s="26" t="str">
        <x:v>[0120]-[0155], [0200]-[0260]</x:v>
      </x:c>
      <x:c r="E3" s="26" t="str">
        <x:v>Partial</x:v>
      </x:c>
      <x:c r="F3" s="26" t="str">
        <x:v>Selective toxicant access; confined electrical; capture + euthanasia; proposed mechanical/localized treatments</x:v>
      </x:c>
      <x:c r="G3" s="26" t="str">
        <x:v>Functional 'lethal means' may raise §112(f)/enablement issues; broad mechanisms differ substantially.</x:v>
      </x:c>
      <x:c r="H3" s="26" t="str">
        <x:v>Confirm concrete inventor-conceived structures/acts for each mechanism class.</x:v>
      </x:c>
      <x:c r="I3" s="26" t="str">
        <x:v>Support probe; not filing gate</x:v>
      </x:c>
      <x:c r="J3" s="28" t="n">
        <x:v>46268</x:v>
      </x:c>
    </x:row>
    <x:row r="4">
      <x:c r="A4" s="26" t="str">
        <x:v>B-03</x:v>
      </x:c>
      <x:c r="B4" s="26" t="str">
        <x:v>Broad</x:v>
      </x:c>
      <x:c r="C4" s="26" t="str">
        <x:v>Recognition output gates or authorizes a lethal/control mechanism</x:v>
      </x:c>
      <x:c r="D4" s="26" t="str">
        <x:v>[0095]-[0139], [0160]-[0180]</x:v>
      </x:c>
      <x:c r="E4" s="26" t="str">
        <x:v>Proposed/Core</x:v>
      </x:c>
      <x:c r="F4" s="26" t="str">
        <x:v>Target-confidence state machine with non-target and hardware-health gates</x:v>
      </x:c>
      <x:c r="G4" s="26" t="str">
        <x:v>Recognition-triggering itself is crowded prior art.</x:v>
      </x:c>
      <x:c r="H4" s="26" t="str">
        <x:v>Confirm specific gate/state architecture and failure modes actually conceived.</x:v>
      </x:c>
      <x:c r="I4" s="26" t="str">
        <x:v>Potential common technical core</x:v>
      </x:c>
      <x:c r="J4" s="28" t="n">
        <x:v>46268</x:v>
      </x:c>
    </x:row>
    <x:row r="5">
      <x:c r="A5" s="26" t="str">
        <x:v>B-04</x:v>
      </x:c>
      <x:c r="B5" s="26" t="str">
        <x:v>Broad</x:v>
      </x:c>
      <x:c r="C5" s="26" t="str">
        <x:v>The lethal mechanism selectively targets the pest</x:v>
      </x:c>
      <x:c r="D5" s="26" t="str">
        <x:v>[0100]-[0118], [0125]-[0139], [0160]-[0180]</x:v>
      </x:c>
      <x:c r="E5" s="26" t="str">
        <x:v>Proposed</x:v>
      </x:c>
      <x:c r="F5" s="26" t="str">
        <x:v>Track-localized control zone with lost-track abort and exclusion zones</x:v>
      </x:c>
      <x:c r="G5" s="26" t="str">
        <x:v>Broad directed targeting has prior-art/safety issues.</x:v>
      </x:c>
      <x:c r="H5" s="26" t="str">
        <x:v>Confirm inventor-conceived coordinate/targeting interface and lawful pest-control embodiments.</x:v>
      </x:c>
      <x:c r="I5" s="26" t="str">
        <x:v>Optional broad fallback</x:v>
      </x:c>
      <x:c r="J5" s="28" t="n">
        <x:v>46268</x:v>
      </x:c>
    </x:row>
    <x:row r="6">
      <x:c r="A6" s="26" t="str">
        <x:v>B-05</x:v>
      </x:c>
      <x:c r="B6" s="26" t="str">
        <x:v>Broad</x:v>
      </x:c>
      <x:c r="C6" s="26" t="str">
        <x:v>The lethal mechanism is generally nonselective but access/exposure is selectively delivered to the pest</x:v>
      </x:c>
      <x:c r="D6" s="26" t="str">
        <x:v>[0140]-[0155], [0160]-[0180], [0240]-[0260]</x:v>
      </x:c>
      <x:c r="E6" s="26" t="str">
        <x:v>Core/Partial</x:v>
      </x:c>
      <x:c r="F6" s="26" t="str">
        <x:v>Closed feeder/compartment remains unavailable until target/group authorization; re-locks on interruption</x:v>
      </x:c>
      <x:c r="G6" s="26" t="str">
        <x:v>Species-specific feeders and poisoned bait are known; novelty cannot rest on selective access alone.</x:v>
      </x:c>
      <x:c r="H6" s="26" t="str">
        <x:v>Tie selective access to distinct population-state/completeness logic if inventor confirms.</x:v>
      </x:c>
      <x:c r="I6" s="26" t="str">
        <x:v>Potential common core/fallback</x:v>
      </x:c>
      <x:c r="J6" s="28" t="n">
        <x:v>46268</x:v>
      </x:c>
    </x:row>
    <x:row r="7">
      <x:c r="A7" s="26" t="str">
        <x:v>I-01</x:v>
      </x:c>
      <x:c r="B7" s="26" t="str">
        <x:v>Intermediate</x:v>
      </x:c>
      <x:c r="C7" s="26" t="str">
        <x:v>Use two or more sensor modalities to recognize target pest</x:v>
      </x:c>
      <x:c r="D7" s="26" t="str">
        <x:v>[0030]-[0058]</x:v>
      </x:c>
      <x:c r="E7" s="26" t="str">
        <x:v>Supported</x:v>
      </x:c>
      <x:c r="F7" s="26" t="str">
        <x:v>Video + audio; video + thermal; optional ranging/tag evidence</x:v>
      </x:c>
      <x:c r="G7" s="26" t="str">
        <x:v>USDA dual-sensory patent is directly relevant.</x:v>
      </x:c>
      <x:c r="H7" s="26" t="str">
        <x:v>Do not rely on multimodality alone; preserve as implementation support.</x:v>
      </x:c>
      <x:c r="I7" s="26" t="str">
        <x:v>Support/fallback only</x:v>
      </x:c>
      <x:c r="J7" s="28" t="n">
        <x:v>46268</x:v>
      </x:c>
    </x:row>
    <x:row r="8">
      <x:c r="A8" s="26" t="str">
        <x:v>I-02</x:v>
      </x:c>
      <x:c r="B8" s="26" t="str">
        <x:v>Intermediate</x:v>
      </x:c>
      <x:c r="C8" s="26" t="str">
        <x:v>Determine target confidence and non-target/unknown confidence before authorization</x:v>
      </x:c>
      <x:c r="D8" s="26" t="str">
        <x:v>[0040]-[0058], [0095]-[0118], [0160]-[0172]</x:v>
      </x:c>
      <x:c r="E8" s="26" t="str">
        <x:v>Proposed/Core</x:v>
      </x:c>
      <x:c r="F8" s="26" t="str">
        <x:v>Separate target classifier and unknown/non-target veto state</x:v>
      </x:c>
      <x:c r="G8" s="26" t="str">
        <x:v>May distinguish some simple classifiers but likely obvious absent specific architecture.</x:v>
      </x:c>
      <x:c r="H8" s="26" t="str">
        <x:v>Inventor confirm unknown/reject semantics, priority rules, and evidence accumulation.</x:v>
      </x:c>
      <x:c r="I8" s="26" t="str">
        <x:v>Potential limitation</x:v>
      </x:c>
      <x:c r="J8" s="28" t="n">
        <x:v>46268</x:v>
      </x:c>
    </x:row>
    <x:row r="9">
      <x:c r="A9" s="26" t="str">
        <x:v>I-03</x:v>
      </x:c>
      <x:c r="B9" s="26" t="str">
        <x:v>Intermediate</x:v>
      </x:c>
      <x:c r="C9" s="26" t="str">
        <x:v>Maintain persistent identities or pseudonymous identities for members of a local pest population</x:v>
      </x:c>
      <x:c r="D9" s="26" t="str">
        <x:v>[0065]-[0082], [0210]-[0260]</x:v>
      </x:c>
      <x:c r="E9" s="26" t="str">
        <x:v>Proposed</x:v>
      </x:c>
      <x:c r="F9" s="26" t="str">
        <x:v>Re-identification embeddings/feature records; candidate/confirmed/active/inactive identity states</x:v>
      </x:c>
      <x:c r="G9" s="26" t="str">
        <x:v>Central support gap; not established by transcript alone.</x:v>
      </x:c>
      <x:c r="H9" s="26" t="str">
        <x:v>Inventor must confirm conception and feasible implementation detail.</x:v>
      </x:c>
      <x:c r="I9" s="26" t="str">
        <x:v>High-priority support gap</x:v>
      </x:c>
      <x:c r="J9" s="28" t="n">
        <x:v>46268</x:v>
      </x:c>
    </x:row>
    <x:row r="10">
      <x:c r="A10" s="26" t="str">
        <x:v>I-04</x:v>
      </x:c>
      <x:c r="B10" s="26" t="str">
        <x:v>Intermediate</x:v>
      </x:c>
      <x:c r="C10" s="26" t="str">
        <x:v>Associate recognized individuals with a recurring local group or population</x:v>
      </x:c>
      <x:c r="D10" s="26" t="str">
        <x:v>[0070]-[0094]</x:v>
      </x:c>
      <x:c r="E10" s="26" t="str">
        <x:v>Proposed/Core</x:v>
      </x:c>
      <x:c r="F10" s="26" t="str">
        <x:v>Co-occurrence/spatial/temporal evidence assigns sounder membership; subgroup split/merge handled</x:v>
      </x:c>
      <x:c r="G10" s="26" t="str">
        <x:v>Whole-sounder management is known; persistent computational group model may be more specific.</x:v>
      </x:c>
      <x:c r="H10" s="26" t="str">
        <x:v>Confirm how local population is bounded and membership transitions occur.</x:v>
      </x:c>
      <x:c r="I10" s="26" t="str">
        <x:v>High-priority support gap</x:v>
      </x:c>
      <x:c r="J10" s="28" t="n">
        <x:v>46268</x:v>
      </x:c>
    </x:row>
    <x:row r="11">
      <x:c r="A11" s="26" t="str">
        <x:v>I-05</x:v>
      </x:c>
      <x:c r="B11" s="26" t="str">
        <x:v>Intermediate</x:v>
      </x:c>
      <x:c r="C11" s="26" t="str">
        <x:v>Determine a population-completeness state from rostered identities/counts over a temporal window</x:v>
      </x:c>
      <x:c r="D11" s="26" t="str">
        <x:v>[0085]-[0118], [0210]-[0260]</x:v>
      </x:c>
      <x:c r="E11" s="26" t="str">
        <x:v>Core/Gap</x:v>
      </x:c>
      <x:c r="F11" s="26" t="str">
        <x:v>Active roster compared with recently observed identities; unknown member can veto; stale observations expire</x:v>
      </x:c>
      <x:c r="G11" s="26" t="str">
        <x:v>Potentially important technical distinction; must be enabled rather than asserted as a result.</x:v>
      </x:c>
      <x:c r="H11" s="26" t="str">
        <x:v>Confirm completeness algorithm, active-roster rules, windows, thresholds, uncertainty, and abort logic.</x:v>
      </x:c>
      <x:c r="I11" s="26" t="str">
        <x:v>Likely central mid-scope concept</x:v>
      </x:c>
      <x:c r="J11" s="28" t="n">
        <x:v>46268</x:v>
      </x:c>
    </x:row>
    <x:row r="12">
      <x:c r="A12" s="26" t="str">
        <x:v>I-06</x:v>
      </x:c>
      <x:c r="B12" s="26" t="str">
        <x:v>Intermediate</x:v>
      </x:c>
      <x:c r="C12" s="26" t="str">
        <x:v>Authorize control only when completeness and safety gates are simultaneously satisfied</x:v>
      </x:c>
      <x:c r="D12" s="26" t="str">
        <x:v>[0095]-[0118], [0160]-[0180]</x:v>
      </x:c>
      <x:c r="E12" s="26" t="str">
        <x:v>Proposed/Core</x:v>
      </x:c>
      <x:c r="F12" s="26" t="str">
        <x:v>Population complete AND target confidence sufficient AND no non-target/human AND mechanism ready</x:v>
      </x:c>
      <x:c r="G12" s="26" t="str">
        <x:v>Combination may face obviousness; concrete state machine can support narrower claims.</x:v>
      </x:c>
      <x:c r="H12" s="26" t="str">
        <x:v>Inventor confirm gate ordering, hard versus soft vetoes, revalidation cadence.</x:v>
      </x:c>
      <x:c r="I12" s="26" t="str">
        <x:v>Likely central mid-scope concept</x:v>
      </x:c>
      <x:c r="J12" s="28" t="n">
        <x:v>46268</x:v>
      </x:c>
    </x:row>
    <x:row r="13">
      <x:c r="A13" s="26" t="str">
        <x:v>I-07</x:v>
      </x:c>
      <x:c r="B13" s="26" t="str">
        <x:v>Intermediate</x:v>
      </x:c>
      <x:c r="C13" s="26" t="str">
        <x:v>Record an auditable event log for recognition/control decisions</x:v>
      </x:c>
      <x:c r="D13" s="26" t="str">
        <x:v>[0182]-[0189]</x:v>
      </x:c>
      <x:c r="E13" s="26" t="str">
        <x:v>Proposed</x:v>
      </x:c>
      <x:c r="F13" s="26" t="str">
        <x:v>Timestamped sensor/model/identity/confidence/operator/mechanism-state log</x:v>
      </x:c>
      <x:c r="G13" s="26" t="str">
        <x:v>Logging alone likely conventional; may support safety/system claims.</x:v>
      </x:c>
      <x:c r="H13" s="26" t="str">
        <x:v>Confirm implementation and retention/tamper-evidence options.</x:v>
      </x:c>
      <x:c r="I13" s="26" t="str">
        <x:v>Dependent/fallback support</x:v>
      </x:c>
      <x:c r="J13" s="28" t="n">
        <x:v>46268</x:v>
      </x:c>
    </x:row>
    <x:row r="14">
      <x:c r="A14" s="26" t="str">
        <x:v>N-01</x:v>
      </x:c>
      <x:c r="B14" s="26" t="str">
        <x:v>Narrow</x:v>
      </x:c>
      <x:c r="C14" s="26" t="str">
        <x:v>Identify members of a local feral pig population using audio, video, or both</x:v>
      </x:c>
      <x:c r="D14" s="26" t="str">
        <x:v>[0015]-[0028], [0030]-[0082], [0210]-[0260]</x:v>
      </x:c>
      <x:c r="E14" s="26" t="str">
        <x:v>Partial</x:v>
      </x:c>
      <x:c r="F14" s="26" t="str">
        <x:v>Feral-swine classifier + optional individual re-identification and sounder roster</x:v>
      </x:c>
      <x:c r="G14" s="26" t="str">
        <x:v>USDA patent expressly covers audio/video feral-swine recognition; individual membership remains a gap.</x:v>
      </x:c>
      <x:c r="H14" s="26" t="str">
        <x:v>Confirm whether 'members' means recognized individuals, count classes, or a roster of identities.</x:v>
      </x:c>
      <x:c r="I14" s="26" t="str">
        <x:v>Claim 20 probe</x:v>
      </x:c>
      <x:c r="J14" s="28" t="n">
        <x:v>46268</x:v>
      </x:c>
    </x:row>
    <x:row r="15">
      <x:c r="A15" s="26" t="str">
        <x:v>N-02</x:v>
      </x:c>
      <x:c r="B15" s="26" t="str">
        <x:v>Narrow</x:v>
      </x:c>
      <x:c r="C15" s="26" t="str">
        <x:v>Identify when all members of the local feral pig population are present</x:v>
      </x:c>
      <x:c r="D15" s="26" t="str">
        <x:v>[0085]-[0118], [0210]-[0260]</x:v>
      </x:c>
      <x:c r="E15" s="26" t="str">
        <x:v>Gap</x:v>
      </x:c>
      <x:c r="F15" s="26" t="str">
        <x:v>Illustrative active-roster completeness state machine</x:v>
      </x:c>
      <x:c r="G15" s="26" t="str">
        <x:v>Transcript/APHIS show whole-sounder practice but not necessarily automated identity-completeness determination.</x:v>
      </x:c>
      <x:c r="H15" s="26" t="str">
        <x:v>Inventor confirmation required for operational algorithm and failure modes.</x:v>
      </x:c>
      <x:c r="I15" s="26" t="str">
        <x:v>Blocking Claim 20 support issue</x:v>
      </x:c>
      <x:c r="J15" s="28" t="n">
        <x:v>46268</x:v>
      </x:c>
    </x:row>
    <x:row r="16">
      <x:c r="A16" s="26" t="str">
        <x:v>N-03</x:v>
      </x:c>
      <x:c r="B16" s="26" t="str">
        <x:v>Narrow</x:v>
      </x:c>
      <x:c r="C16" s="26" t="str">
        <x:v>Selectively administer a general poison to the group only after population condition is satisfied</x:v>
      </x:c>
      <x:c r="D16" s="26" t="str">
        <x:v>[0140]-[0155], [0240]-[0260]</x:v>
      </x:c>
      <x:c r="E16" s="26" t="str">
        <x:v>Partial</x:v>
      </x:c>
      <x:c r="F16" s="26" t="str">
        <x:v>Recognition-gated feeder/compartment; control window opens only after completeness; closes on veto</x:v>
      </x:c>
      <x:c r="G16" s="26" t="str">
        <x:v>Species-specific poisoned feeders are known; general-toxicant selective delivery is crowded.</x:v>
      </x:c>
      <x:c r="H16" s="26" t="str">
        <x:v>Define selectivity as exposure/access/timing and integrate with population-state gate.</x:v>
      </x:c>
      <x:c r="I16" s="26" t="str">
        <x:v>Claim 20 probe</x:v>
      </x:c>
      <x:c r="J16" s="28" t="n">
        <x:v>46268</x:v>
      </x:c>
    </x:row>
    <x:row r="17">
      <x:c r="A17" s="26" t="str">
        <x:v>N-04</x:v>
      </x:c>
      <x:c r="B17" s="26" t="str">
        <x:v>Narrow</x:v>
      </x:c>
      <x:c r="C17" s="26" t="str">
        <x:v>A non-target, human, unknown animal, stale observation, or mechanism fault prevents/aborts administration</x:v>
      </x:c>
      <x:c r="D17" s="26" t="str">
        <x:v>[0100]-[0118], [0160]-[0180], [0240]-[0260]</x:v>
      </x:c>
      <x:c r="E17" s="26" t="str">
        <x:v>Proposed</x:v>
      </x:c>
      <x:c r="F17" s="26" t="str">
        <x:v>Hard-veto interlocks and re-arm requirements</x:v>
      </x:c>
      <x:c r="G17" s="26" t="str">
        <x:v>Safety logic may add technical specificity but needs inventor confirmation.</x:v>
      </x:c>
      <x:c r="H17" s="26" t="str">
        <x:v>Confirm veto set, priority, revalidation, recovery.</x:v>
      </x:c>
      <x:c r="I17" s="26" t="str">
        <x:v>Potential narrowing limitation</x:v>
      </x:c>
      <x:c r="J17" s="28" t="n">
        <x:v>46268</x:v>
      </x:c>
    </x:row>
    <x:row r="18">
      <x:c r="A18" s="26" t="str">
        <x:v>N-05</x:v>
      </x:c>
      <x:c r="B18" s="26" t="str">
        <x:v>Narrow</x:v>
      </x:c>
      <x:c r="C18" s="26" t="str">
        <x:v>Population membership changes are detected and the completeness criterion is updated before subsequent control events</x:v>
      </x:c>
      <x:c r="D18" s="26" t="str">
        <x:v>[0070]-[0094], [0210]-[0260]</x:v>
      </x:c>
      <x:c r="E18" s="26" t="str">
        <x:v>Proposed</x:v>
      </x:c>
      <x:c r="F18" s="26" t="str">
        <x:v>Candidate/confirmed/active/inactive roster states; new unknown member blocks completeness until resolved</x:v>
      </x:c>
      <x:c r="G18" s="26" t="str">
        <x:v>Potentially useful distinction; conception not yet confirmed.</x:v>
      </x:c>
      <x:c r="H18" s="26" t="str">
        <x:v>Inventor confirm births, arrivals, departures, deaths/removals, and roster-aging rules.</x:v>
      </x:c>
      <x:c r="I18" s="26" t="str">
        <x:v>Potential narrow core</x:v>
      </x:c>
      <x:c r="J18" s="28" t="n">
        <x:v>46268</x:v>
      </x:c>
    </x:row>
  </x:sheetData>
  <x:dataValidations count="1">
    <x:dataValidation type="list" sqref="E2:E18">
      <x:formula1>"Core,Supported,Partial,Proposed,Gap,Core/Gap,Proposed/Core"</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34" hidden="0" customWidth="1"/>
    <x:col min="3" max="3" width="38" hidden="0" customWidth="1"/>
    <x:col min="4" max="4" width="50" hidden="0" customWidth="1"/>
    <x:col min="5" max="5" width="16" hidden="0" customWidth="1"/>
    <x:col min="6" max="6" width="22" hidden="0" customWidth="1"/>
    <x:col min="7" max="7" width="32" hidden="0" customWidth="1"/>
  </x:cols>
  <x:sheetData>
    <x:row r="1">
      <x:c r="A1" s="38" t="str">
        <x:v>Section refs</x:v>
      </x:c>
      <x:c r="B1" s="38" t="str">
        <x:v>Section title</x:v>
      </x:c>
      <x:c r="C1" s="38" t="str">
        <x:v>Purpose / support function</x:v>
      </x:c>
      <x:c r="D1" s="38" t="str">
        <x:v>Concrete content required</x:v>
      </x:c>
      <x:c r="E1" s="38" t="str">
        <x:v>Current status</x:v>
      </x:c>
      <x:c r="F1" s="38" t="str">
        <x:v>Inventor confirmation needed</x:v>
      </x:c>
      <x:c r="G1" s="38" t="str">
        <x:v>Primary source / note</x:v>
      </x:c>
    </x:row>
    <x:row r="2">
      <x:c r="A2" s="26" t="str">
        <x:v>[0001]-[0005]</x:v>
      </x:c>
      <x:c r="B2" s="26" t="str">
        <x:v>Title; Field; Technical Field</x:v>
      </x:c>
      <x:c r="C2" s="26" t="str">
        <x:v>Frame invention without unnecessary limitation</x:v>
      </x:c>
      <x:c r="D2" s="26" t="str">
        <x:v>Pest identification and recognition-gated pest control; automated/semi-automated systems; population management.</x:v>
      </x:c>
      <x:c r="E2" s="26" t="str">
        <x:v>Drafted</x:v>
      </x:c>
      <x:c r="F2" s="26" t="str">
        <x:v>Yes</x:v>
      </x:c>
      <x:c r="G2" s="26" t="str">
        <x:v>Project concept</x:v>
      </x:c>
    </x:row>
    <x:row r="3">
      <x:c r="A3" s="26" t="str">
        <x:v>[0006]-[0013]</x:v>
      </x:c>
      <x:c r="B3" s="26" t="str">
        <x:v>Definitions and scope</x:v>
      </x:c>
      <x:c r="C3" s="26" t="str">
        <x:v>Define pest, target, non-target, local population, recognition, control event, selective delivery</x:v>
      </x:c>
      <x:c r="D3" s="26" t="str">
        <x:v>Definitions must not substitute for representative embodiments; explain common sensor-decision-control architecture.</x:v>
      </x:c>
      <x:c r="E3" s="26" t="str">
        <x:v>Drafted</x:v>
      </x:c>
      <x:c r="F3" s="26" t="str">
        <x:v>Yes</x:v>
      </x:c>
      <x:c r="G3" s="26" t="str">
        <x:v>USPTO genus guidance</x:v>
      </x:c>
    </x:row>
    <x:row r="4">
      <x:c r="A4" s="26" t="str">
        <x:v>[0014]-[0028]</x:v>
      </x:c>
      <x:c r="B4" s="26" t="str">
        <x:v>Background / problem context</x:v>
      </x:c>
      <x:c r="C4" s="26" t="str">
        <x:v>Explain need without making unnecessary admissions</x:v>
      </x:c>
      <x:c r="D4" s="26" t="str">
        <x:v>Feral swine damage; whole-sounder management problem; non-target exposure risk; limitations of single-tactic control.</x:v>
      </x:c>
      <x:c r="E4" s="26" t="str">
        <x:v>Drafted</x:v>
      </x:c>
      <x:c r="F4" s="26" t="str">
        <x:v>No</x:v>
      </x:c>
      <x:c r="G4" s="26" t="str">
        <x:v>Transcript + APHIS</x:v>
      </x:c>
    </x:row>
    <x:row r="5">
      <x:c r="A5" s="26" t="str">
        <x:v>[0030]-[0058]</x:v>
      </x:c>
      <x:c r="B5" s="26" t="str">
        <x:v>Sensing and recognition pipeline</x:v>
      </x:c>
      <x:c r="C5" s="26" t="str">
        <x:v>Support video/audio/multimodal recognition</x:v>
      </x:c>
      <x:c r="D5" s="26" t="str">
        <x:v>Sensors, preprocessing, detection/tracking, classification, re-identification, confidence, unknown state, sensor fusion.</x:v>
      </x:c>
      <x:c r="E5" s="26" t="str">
        <x:v>Drafted</x:v>
      </x:c>
      <x:c r="F5" s="26" t="str">
        <x:v>Yes</x:v>
      </x:c>
      <x:c r="G5" s="26" t="str">
        <x:v>Project + web research</x:v>
      </x:c>
    </x:row>
    <x:row r="6">
      <x:c r="A6" s="26" t="str">
        <x:v>[0060]-[0094]</x:v>
      </x:c>
      <x:c r="B6" s="26" t="str">
        <x:v>Population / identity model</x:v>
      </x:c>
      <x:c r="C6" s="26" t="str">
        <x:v>Support local-group membership and all-members logic</x:v>
      </x:c>
      <x:c r="D6" s="26" t="str">
        <x:v>Identity records, roster states, membership evidence, subgroup changes, unknown animals, active/inactive states.</x:v>
      </x:c>
      <x:c r="E6" s="26" t="str">
        <x:v>Drafted</x:v>
      </x:c>
      <x:c r="F6" s="26" t="str">
        <x:v>Yes - critical</x:v>
      </x:c>
      <x:c r="G6" s="26" t="str">
        <x:v>AI-proposed implementation; inventor confirmation required</x:v>
      </x:c>
    </x:row>
    <x:row r="7">
      <x:c r="A7" s="26" t="str">
        <x:v>[0095]-[0118]</x:v>
      </x:c>
      <x:c r="B7" s="26" t="str">
        <x:v>Decision engine</x:v>
      </x:c>
      <x:c r="C7" s="26" t="str">
        <x:v>Support target/completeness/safety gating</x:v>
      </x:c>
      <x:c r="D7" s="26" t="str">
        <x:v>State machine, thresholds, temporal evidence, hard vetoes, human/autonomous modes, schedule/zone gates.</x:v>
      </x:c>
      <x:c r="E7" s="26" t="str">
        <x:v>Drafted</x:v>
      </x:c>
      <x:c r="F7" s="26" t="str">
        <x:v>Yes - critical</x:v>
      </x:c>
      <x:c r="G7" s="26" t="str">
        <x:v>AI-proposed implementation</x:v>
      </x:c>
    </x:row>
    <x:row r="8">
      <x:c r="A8" s="26" t="str">
        <x:v>[0120]-[0139]</x:v>
      </x:c>
      <x:c r="B8" s="26" t="str">
        <x:v>Control interfaces</x:v>
      </x:c>
      <x:c r="C8" s="26" t="str">
        <x:v>Provide structure between decision and lethal/control mechanism</x:v>
      </x:c>
      <x:c r="D8" s="26" t="str">
        <x:v>Door/gate/dispenser/trap/electrical/directed-control abstract interfaces, readiness sensing, default states.</x:v>
      </x:c>
      <x:c r="E8" s="26" t="str">
        <x:v>Drafted</x:v>
      </x:c>
      <x:c r="F8" s="26" t="str">
        <x:v>Yes</x:v>
      </x:c>
      <x:c r="G8" s="26" t="str">
        <x:v>Project + prior-art context</x:v>
      </x:c>
    </x:row>
    <x:row r="9">
      <x:c r="A9" s="26" t="str">
        <x:v>[0140]-[0155]</x:v>
      </x:c>
      <x:c r="B9" s="26" t="str">
        <x:v>Selective exposure / delivery</x:v>
      </x:c>
      <x:c r="C9" s="26" t="str">
        <x:v>Clarify nonselective toxicity versus selective access/timing</x:v>
      </x:c>
      <x:c r="D9" s="26" t="str">
        <x:v>Default closed, authorization window, revalidation, re-lock, inventory/jam/fault handling, label-compliant toxicant use.</x:v>
      </x:c>
      <x:c r="E9" s="26" t="str">
        <x:v>Drafted</x:v>
      </x:c>
      <x:c r="F9" s="26" t="str">
        <x:v>Yes - critical</x:v>
      </x:c>
      <x:c r="G9" s="26" t="str">
        <x:v>Project core + EPA registration context</x:v>
      </x:c>
    </x:row>
    <x:row r="10">
      <x:c r="A10" s="26" t="str">
        <x:v>[0160]-[0180]</x:v>
      </x:c>
      <x:c r="B10" s="26" t="str">
        <x:v>Safety and interlocks</x:v>
      </x:c>
      <x:c r="C10" s="26" t="str">
        <x:v>Support non-target selectivity and fail-safe behavior</x:v>
      </x:c>
      <x:c r="D10" s="26" t="str">
        <x:v>Human/non-target/unknown veto, geofence, maintenance mode, emergency stop, communications/power/model/actuator faults.</x:v>
      </x:c>
      <x:c r="E10" s="26" t="str">
        <x:v>Drafted</x:v>
      </x:c>
      <x:c r="F10" s="26" t="str">
        <x:v>Yes</x:v>
      </x:c>
      <x:c r="G10" s="26" t="str">
        <x:v>AI-proposed implementation</x:v>
      </x:c>
    </x:row>
    <x:row r="11">
      <x:c r="A11" s="26" t="str">
        <x:v>[0182]-[0189]</x:v>
      </x:c>
      <x:c r="B11" s="26" t="str">
        <x:v>Logging / audit / configuration</x:v>
      </x:c>
      <x:c r="C11" s="26" t="str">
        <x:v>Support auditable system operation</x:v>
      </x:c>
      <x:c r="D11" s="26" t="str">
        <x:v>Event log, model/config version, operator action, scores, identities, mechanism state, rollback.</x:v>
      </x:c>
      <x:c r="E11" s="26" t="str">
        <x:v>Drafted</x:v>
      </x:c>
      <x:c r="F11" s="26" t="str">
        <x:v>Yes</x:v>
      </x:c>
      <x:c r="G11" s="26" t="str">
        <x:v>AI-proposed implementation</x:v>
      </x:c>
    </x:row>
    <x:row r="12">
      <x:c r="A12" s="26" t="str">
        <x:v>[0190]-[0209]</x:v>
      </x:c>
      <x:c r="B12" s="26" t="str">
        <x:v>Embodiment A - individual terrestrial mammal</x:v>
      </x:c>
      <x:c r="C12" s="26" t="str">
        <x:v>Representative genus species</x:v>
      </x:c>
      <x:c r="D12" s="26" t="str">
        <x:v>Video/thermal mammal recognition + selective capture/mechanical/electrical or operator-authorized control.</x:v>
      </x:c>
      <x:c r="E12" s="26" t="str">
        <x:v>Drafted</x:v>
      </x:c>
      <x:c r="F12" s="26" t="str">
        <x:v>Yes</x:v>
      </x:c>
      <x:c r="G12" s="26" t="str">
        <x:v>Representative embodiment</x:v>
      </x:c>
    </x:row>
    <x:row r="13">
      <x:c r="A13" s="26" t="str">
        <x:v>[0210]-[0239]</x:v>
      </x:c>
      <x:c r="B13" s="26" t="str">
        <x:v>Embodiment B - feral swine sounder completeness</x:v>
      </x:c>
      <x:c r="C13" s="26" t="str">
        <x:v>Core technical example</x:v>
      </x:c>
      <x:c r="D13" s="26" t="str">
        <x:v>Roster enrollment, repeated observation, re-ID, completeness, unknown-member veto, human/autonomous authorization.</x:v>
      </x:c>
      <x:c r="E13" s="26" t="str">
        <x:v>Drafted</x:v>
      </x:c>
      <x:c r="F13" s="26" t="str">
        <x:v>Yes - critical</x:v>
      </x:c>
      <x:c r="G13" s="26" t="str">
        <x:v>Project core</x:v>
      </x:c>
    </x:row>
    <x:row r="14">
      <x:c r="A14" s="26" t="str">
        <x:v>[0240]-[0260]</x:v>
      </x:c>
      <x:c r="B14" s="26" t="str">
        <x:v>Embodiment C - selective general-toxicant access</x:v>
      </x:c>
      <x:c r="C14" s="26" t="str">
        <x:v>Narrow feral-swine example</x:v>
      </x:c>
      <x:c r="D14" s="26" t="str">
        <x:v>Completeness gate opens otherwise inaccessible bait/agent for a limited window; non-target/fault closes access.</x:v>
      </x:c>
      <x:c r="E14" s="26" t="str">
        <x:v>Drafted</x:v>
      </x:c>
      <x:c r="F14" s="26" t="str">
        <x:v>Yes - critical</x:v>
      </x:c>
      <x:c r="G14" s="26" t="str">
        <x:v>Project core + EPA context</x:v>
      </x:c>
    </x:row>
    <x:row r="15">
      <x:c r="A15" s="26" t="str">
        <x:v>[0261]-[0278]</x:v>
      </x:c>
      <x:c r="B15" s="26" t="str">
        <x:v>Embodiment D - remote capture and subsequent euthanasia</x:v>
      </x:c>
      <x:c r="C15" s="26" t="str">
        <x:v>Fallback implementation</x:v>
      </x:c>
      <x:c r="D15" s="26" t="str">
        <x:v>Whole-sounder remote trap with machine or human authorization, post-capture verification, authorized euthanasia.</x:v>
      </x:c>
      <x:c r="E15" s="26" t="str">
        <x:v>Drafted</x:v>
      </x:c>
      <x:c r="F15" s="26" t="str">
        <x:v>Yes</x:v>
      </x:c>
      <x:c r="G15" s="26" t="str">
        <x:v>APHIS trapping context</x:v>
      </x:c>
    </x:row>
    <x:row r="16">
      <x:c r="A16" s="26" t="str">
        <x:v>[0279]-[0295]</x:v>
      </x:c>
      <x:c r="B16" s="26" t="str">
        <x:v>Embodiment E - small-pest localized treatment</x:v>
      </x:c>
      <x:c r="C16" s="26" t="str">
        <x:v>Representative non-mammal/small-target implementation</x:v>
      </x:c>
      <x:c r="D16" s="26" t="str">
        <x:v>Close-range optical detection and localized treatment; non-target and zone constraints.</x:v>
      </x:c>
      <x:c r="E16" s="26" t="str">
        <x:v>Drafted</x:v>
      </x:c>
      <x:c r="F16" s="26" t="str">
        <x:v>Yes</x:v>
      </x:c>
      <x:c r="G16" s="26" t="str">
        <x:v>AI-proposed representative embodiment</x:v>
      </x:c>
    </x:row>
    <x:row r="17">
      <x:c r="A17" s="26" t="str">
        <x:v>[0296]-[0310]</x:v>
      </x:c>
      <x:c r="B17" s="26" t="str">
        <x:v>Embodiment F - aquatic/other environment</x:v>
      </x:c>
      <x:c r="C17" s="26" t="str">
        <x:v>Representative environment variation</x:v>
      </x:c>
      <x:c r="D17" s="26" t="str">
        <x:v>Underwater sensing and authorized capture/euthanasia control; turbidity/failure states.</x:v>
      </x:c>
      <x:c r="E17" s="26" t="str">
        <x:v>Drafted</x:v>
      </x:c>
      <x:c r="F17" s="26" t="str">
        <x:v>Yes</x:v>
      </x:c>
      <x:c r="G17" s="26" t="str">
        <x:v>AI-proposed representative embodiment</x:v>
      </x:c>
    </x:row>
    <x:row r="18">
      <x:c r="A18" s="26" t="str">
        <x:v>[0311]-[0330]</x:v>
      </x:c>
      <x:c r="B18" s="26" t="str">
        <x:v>Variants / combinations / fallback embodiments</x:v>
      </x:c>
      <x:c r="C18" s="26" t="str">
        <x:v>Support recombination without pure laundry list</x:v>
      </x:c>
      <x:c r="D18" s="26" t="str">
        <x:v>Explicitly walk through important combinations and identify shared interfaces/decision states.</x:v>
      </x:c>
      <x:c r="E18" s="26" t="str">
        <x:v>Drafted</x:v>
      </x:c>
      <x:c r="F18" s="26" t="str">
        <x:v>Yes</x:v>
      </x:c>
      <x:c r="G18" s="26" t="str">
        <x:v>USPTO written-description concern</x:v>
      </x:c>
    </x:row>
    <x:row r="19">
      <x:c r="A19" s="26" t="str">
        <x:v>[0331]-[0345]</x:v>
      </x:c>
      <x:c r="B19" s="26" t="str">
        <x:v>Computer implementation / data flows</x:v>
      </x:c>
      <x:c r="C19" s="26" t="str">
        <x:v>Enable software aspects</x:v>
      </x:c>
      <x:c r="D19" s="26" t="str">
        <x:v>Edge/cloud options, model storage, data structures, inference, connectivity, security, update/rollback.</x:v>
      </x:c>
      <x:c r="E19" s="26" t="str">
        <x:v>Drafted</x:v>
      </x:c>
      <x:c r="F19" s="26" t="str">
        <x:v>Yes</x:v>
      </x:c>
      <x:c r="G19" s="26" t="str">
        <x:v>AI-proposed implementation</x:v>
      </x:c>
    </x:row>
    <x:row r="20">
      <x:c r="A20" s="26" t="str">
        <x:v>[0346]-[0360]</x:v>
      </x:c>
      <x:c r="B20" s="26" t="str">
        <x:v>Failure modes and recovery</x:v>
      </x:c>
      <x:c r="C20" s="26" t="str">
        <x:v>Enable real-world implementation</x:v>
      </x:c>
      <x:c r="D20" s="26" t="str">
        <x:v>Occlusion, low light, weather, noise, sensor fault, power loss, actuator jam, unknown target, stale roster, recovery.</x:v>
      </x:c>
      <x:c r="E20" s="26" t="str">
        <x:v>Drafted</x:v>
      </x:c>
      <x:c r="F20" s="26" t="str">
        <x:v>Yes</x:v>
      </x:c>
      <x:c r="G20" s="26" t="str">
        <x:v>AI-proposed implementation</x:v>
      </x:c>
    </x:row>
    <x:row r="21">
      <x:c r="A21" s="26" t="str">
        <x:v>[0361]-[0375]</x:v>
      </x:c>
      <x:c r="B21" s="26" t="str">
        <x:v>Drawing descriptions</x:v>
      </x:c>
      <x:c r="C21" s="26" t="str">
        <x:v>Reserve and support figures</x:v>
      </x:c>
      <x:c r="D21" s="26" t="str">
        <x:v>Architecture, recognition pipeline, roster state machine, decision state machine, feeder/trap interfaces, event log.</x:v>
      </x:c>
      <x:c r="E21" s="26" t="str">
        <x:v>Drafted</x:v>
      </x:c>
      <x:c r="F21" s="26" t="str">
        <x:v>Yes</x:v>
      </x:c>
      <x:c r="G21" s="26" t="str">
        <x:v>Drawings still need preparation</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4" hidden="0" customWidth="1"/>
    <x:col min="3" max="3" width="24" hidden="0" customWidth="1"/>
    <x:col min="4" max="4" width="28" hidden="0" customWidth="1"/>
    <x:col min="5" max="5" width="46" hidden="0" customWidth="1"/>
    <x:col min="6" max="6" width="24" hidden="0" customWidth="1"/>
    <x:col min="7" max="7" width="18" hidden="0" customWidth="1"/>
    <x:col min="8" max="8" width="34" hidden="0" customWidth="1"/>
    <x:col min="9" max="9" width="30" hidden="0" customWidth="1"/>
    <x:col min="10" max="10" width="28" hidden="0" customWidth="1"/>
    <x:col min="11" max="11" width="26" hidden="0" customWidth="1"/>
    <x:col min="12" max="12" width="18" hidden="0" customWidth="1"/>
    <x:col min="13" max="13" width="16" hidden="0" customWidth="1"/>
    <x:col min="14" max="14" width="14" hidden="0" customWidth="1"/>
  </x:cols>
  <x:sheetData>
    <x:row r="1">
      <x:c r="A1" s="38" t="str">
        <x:v>Improvement ID</x:v>
      </x:c>
      <x:c r="B1" s="38" t="str">
        <x:v>Date conceived</x:v>
      </x:c>
      <x:c r="C1" s="38" t="str">
        <x:v>Contributor(s)</x:v>
      </x:c>
      <x:c r="D1" s="38" t="str">
        <x:v>Problem / trigger</x:v>
      </x:c>
      <x:c r="E1" s="38" t="str">
        <x:v>Technical improvement / new subject matter</x:v>
      </x:c>
      <x:c r="F1" s="38" t="str">
        <x:v>Existing provisional support refs</x:v>
      </x:c>
      <x:c r="G1" s="38" t="str">
        <x:v>Fully supported already?</x:v>
      </x:c>
      <x:c r="H1" s="38" t="str">
        <x:v>Potential claim impact</x:v>
      </x:c>
      <x:c r="I1" s="38" t="str">
        <x:v>Evidence / files</x:v>
      </x:c>
      <x:c r="J1" s="38" t="str">
        <x:v>Disclosure / publication risk</x:v>
      </x:c>
      <x:c r="K1" s="38" t="str">
        <x:v>Supplemental provisional evaluation</x:v>
      </x:c>
      <x:c r="L1" s="38" t="str">
        <x:v>Decision</x:v>
      </x:c>
      <x:c r="M1" s="38" t="str">
        <x:v>Counsel reviewed</x:v>
      </x:c>
      <x:c r="N1" s="38" t="str">
        <x:v>Last updated</x:v>
      </x:c>
    </x:row>
    <x:row r="2">
      <x:c r="A2" s="26" t="str">
        <x:v>EXAMPLE-REMOVE</x:v>
      </x:c>
      <x:c r="B2" s="28"/>
      <x:c r="C2" s="26"/>
      <x:c r="D2" s="26" t="str">
        <x:v>Example only - delete before first use</x:v>
      </x:c>
      <x:c r="E2" s="26" t="str">
        <x:v>Describe the newly conceived implementation at technical-detail level and identify what was actually conceived.</x:v>
      </x:c>
      <x:c r="F2" s="26" t="str">
        <x:v>List paragraph/figure refs if already supported</x:v>
      </x:c>
      <x:c r="G2" s="26" t="str">
        <x:v>Unknown</x:v>
      </x:c>
      <x:c r="H2" s="26" t="str">
        <x:v>Identify affected broad/intermediate/narrow concepts</x:v>
      </x:c>
      <x:c r="I2" s="26" t="str">
        <x:v>Lab notebook / code commit / diagram / email / test result</x:v>
      </x:c>
      <x:c r="J2" s="26" t="str">
        <x:v>Record any planned or actual disclosure date</x:v>
      </x:c>
      <x:c r="K2" s="26" t="str">
        <x:v>Evaluate</x:v>
      </x:c>
      <x:c r="L2" s="26" t="str">
        <x:v>Pending</x:v>
      </x:c>
      <x:c r="M2" s="26" t="str">
        <x:v>No</x:v>
      </x:c>
      <x:c r="N2" s="28" t="n">
        <x:v>46268</x:v>
      </x:c>
    </x:row>
    <x:row r="3">
      <x:c r="B3" s="31"/>
      <x:c r="N3" s="31"/>
    </x:row>
    <x:row r="4">
      <x:c r="B4" s="31"/>
      <x:c r="N4" s="31"/>
    </x:row>
    <x:row r="5">
      <x:c r="B5" s="31"/>
      <x:c r="N5" s="31"/>
    </x:row>
    <x:row r="6">
      <x:c r="B6" s="31"/>
      <x:c r="N6" s="31"/>
    </x:row>
    <x:row r="7">
      <x:c r="B7" s="31"/>
      <x:c r="N7" s="31"/>
    </x:row>
    <x:row r="8">
      <x:c r="B8" s="31"/>
      <x:c r="N8" s="31"/>
    </x:row>
    <x:row r="9">
      <x:c r="B9" s="31"/>
      <x:c r="N9" s="31"/>
    </x:row>
    <x:row r="10">
      <x:c r="B10" s="31"/>
      <x:c r="N10" s="31"/>
    </x:row>
    <x:row r="11">
      <x:c r="B11" s="31"/>
      <x:c r="N11" s="31"/>
    </x:row>
    <x:row r="12">
      <x:c r="B12" s="31"/>
      <x:c r="N12" s="31"/>
    </x:row>
    <x:row r="13">
      <x:c r="B13" s="31"/>
      <x:c r="N13" s="31"/>
    </x:row>
    <x:row r="14">
      <x:c r="B14" s="31"/>
      <x:c r="N14" s="31"/>
    </x:row>
    <x:row r="15">
      <x:c r="B15" s="31"/>
      <x:c r="N15" s="31"/>
    </x:row>
    <x:row r="16">
      <x:c r="B16" s="31"/>
      <x:c r="N16" s="31"/>
    </x:row>
    <x:row r="17">
      <x:c r="B17" s="31"/>
      <x:c r="N17" s="31"/>
    </x:row>
    <x:row r="18">
      <x:c r="B18" s="31"/>
      <x:c r="N18" s="31"/>
    </x:row>
    <x:row r="19">
      <x:c r="B19" s="31"/>
      <x:c r="N19" s="31"/>
    </x:row>
    <x:row r="20">
      <x:c r="B20" s="31"/>
      <x:c r="N20" s="31"/>
    </x:row>
    <x:row r="21">
      <x:c r="B21" s="31"/>
      <x:c r="N21" s="31"/>
    </x:row>
    <x:row r="22">
      <x:c r="B22" s="31"/>
      <x:c r="N22" s="31"/>
    </x:row>
    <x:row r="23">
      <x:c r="B23" s="31"/>
      <x:c r="N23" s="31"/>
    </x:row>
    <x:row r="24">
      <x:c r="B24" s="31"/>
      <x:c r="N24" s="31"/>
    </x:row>
    <x:row r="25">
      <x:c r="B25" s="31"/>
      <x:c r="N25" s="31"/>
    </x:row>
    <x:row r="26">
      <x:c r="B26" s="31"/>
      <x:c r="N26" s="31"/>
    </x:row>
    <x:row r="27">
      <x:c r="B27" s="31"/>
      <x:c r="N27" s="31"/>
    </x:row>
    <x:row r="28">
      <x:c r="B28" s="31"/>
      <x:c r="N28" s="31"/>
    </x:row>
    <x:row r="29">
      <x:c r="B29" s="31"/>
      <x:c r="N29" s="31"/>
    </x:row>
    <x:row r="30">
      <x:c r="B30" s="31"/>
      <x:c r="N30" s="31"/>
    </x:row>
    <x:row r="31">
      <x:c r="B31" s="31"/>
      <x:c r="N31" s="31"/>
    </x:row>
    <x:row r="32">
      <x:c r="B32" s="31"/>
      <x:c r="N32" s="31"/>
    </x:row>
    <x:row r="33">
      <x:c r="B33" s="31"/>
      <x:c r="N33" s="31"/>
    </x:row>
    <x:row r="34">
      <x:c r="B34" s="31"/>
      <x:c r="N34" s="31"/>
    </x:row>
    <x:row r="35">
      <x:c r="B35" s="31"/>
      <x:c r="N35" s="31"/>
    </x:row>
    <x:row r="36">
      <x:c r="B36" s="31"/>
      <x:c r="N36" s="31"/>
    </x:row>
    <x:row r="37">
      <x:c r="B37" s="31"/>
      <x:c r="N37" s="31"/>
    </x:row>
    <x:row r="38">
      <x:c r="B38" s="31"/>
      <x:c r="N38" s="31"/>
    </x:row>
    <x:row r="39">
      <x:c r="B39" s="31"/>
      <x:c r="N39" s="31"/>
    </x:row>
    <x:row r="40">
      <x:c r="B40" s="31"/>
      <x:c r="N40" s="31"/>
    </x:row>
    <x:row r="41">
      <x:c r="B41" s="31"/>
      <x:c r="N41" s="31"/>
    </x:row>
    <x:row r="42">
      <x:c r="B42" s="31"/>
      <x:c r="N42" s="31"/>
    </x:row>
    <x:row r="43">
      <x:c r="B43" s="31"/>
      <x:c r="N43" s="31"/>
    </x:row>
    <x:row r="44">
      <x:c r="B44" s="31"/>
      <x:c r="N44" s="31"/>
    </x:row>
    <x:row r="45">
      <x:c r="B45" s="31"/>
      <x:c r="N45" s="31"/>
    </x:row>
    <x:row r="46">
      <x:c r="B46" s="31"/>
      <x:c r="N46" s="31"/>
    </x:row>
    <x:row r="47">
      <x:c r="B47" s="31"/>
      <x:c r="N47" s="31"/>
    </x:row>
    <x:row r="48">
      <x:c r="B48" s="31"/>
      <x:c r="N48" s="31"/>
    </x:row>
    <x:row r="49">
      <x:c r="B49" s="31"/>
      <x:c r="N49" s="31"/>
    </x:row>
    <x:row r="50">
      <x:c r="B50" s="31"/>
      <x:c r="N50" s="31"/>
    </x:row>
    <x:row r="51">
      <x:c r="B51" s="31"/>
      <x:c r="N51" s="31"/>
    </x:row>
    <x:row r="52">
      <x:c r="B52" s="31"/>
      <x:c r="N52" s="31"/>
    </x:row>
    <x:row r="53">
      <x:c r="B53" s="31"/>
      <x:c r="N53" s="31"/>
    </x:row>
    <x:row r="54">
      <x:c r="B54" s="31"/>
      <x:c r="N54" s="31"/>
    </x:row>
    <x:row r="55">
      <x:c r="B55" s="31"/>
      <x:c r="N55" s="31"/>
    </x:row>
    <x:row r="56">
      <x:c r="B56" s="31"/>
      <x:c r="N56" s="31"/>
    </x:row>
    <x:row r="57">
      <x:c r="B57" s="31"/>
      <x:c r="N57" s="31"/>
    </x:row>
    <x:row r="58">
      <x:c r="B58" s="31"/>
      <x:c r="N58" s="31"/>
    </x:row>
    <x:row r="59">
      <x:c r="B59" s="31"/>
      <x:c r="N59" s="31"/>
    </x:row>
    <x:row r="60">
      <x:c r="B60" s="31"/>
      <x:c r="N60" s="31"/>
    </x:row>
    <x:row r="61">
      <x:c r="B61" s="31"/>
      <x:c r="N61" s="31"/>
    </x:row>
    <x:row r="62">
      <x:c r="B62" s="31"/>
      <x:c r="N62" s="31"/>
    </x:row>
    <x:row r="63">
      <x:c r="B63" s="31"/>
      <x:c r="N63" s="31"/>
    </x:row>
    <x:row r="64">
      <x:c r="B64" s="31"/>
      <x:c r="N64" s="31"/>
    </x:row>
    <x:row r="65">
      <x:c r="B65" s="31"/>
      <x:c r="N65" s="31"/>
    </x:row>
    <x:row r="66">
      <x:c r="B66" s="31"/>
      <x:c r="N66" s="31"/>
    </x:row>
    <x:row r="67">
      <x:c r="B67" s="31"/>
      <x:c r="N67" s="31"/>
    </x:row>
    <x:row r="68">
      <x:c r="B68" s="31"/>
      <x:c r="N68" s="31"/>
    </x:row>
    <x:row r="69">
      <x:c r="B69" s="31"/>
      <x:c r="N69" s="31"/>
    </x:row>
    <x:row r="70">
      <x:c r="B70" s="31"/>
      <x:c r="N70" s="31"/>
    </x:row>
    <x:row r="71">
      <x:c r="B71" s="31"/>
      <x:c r="N71" s="31"/>
    </x:row>
    <x:row r="72">
      <x:c r="B72" s="31"/>
      <x:c r="N72" s="31"/>
    </x:row>
    <x:row r="73">
      <x:c r="B73" s="31"/>
      <x:c r="N73" s="31"/>
    </x:row>
    <x:row r="74">
      <x:c r="B74" s="31"/>
      <x:c r="N74" s="31"/>
    </x:row>
    <x:row r="75">
      <x:c r="B75" s="31"/>
      <x:c r="N75" s="31"/>
    </x:row>
    <x:row r="76">
      <x:c r="B76" s="31"/>
      <x:c r="N76" s="31"/>
    </x:row>
    <x:row r="77">
      <x:c r="B77" s="31"/>
      <x:c r="N77" s="31"/>
    </x:row>
    <x:row r="78">
      <x:c r="B78" s="31"/>
      <x:c r="N78" s="31"/>
    </x:row>
    <x:row r="79">
      <x:c r="B79" s="31"/>
      <x:c r="N79" s="31"/>
    </x:row>
    <x:row r="80">
      <x:c r="B80" s="31"/>
      <x:c r="N80" s="31"/>
    </x:row>
    <x:row r="81">
      <x:c r="B81" s="31"/>
      <x:c r="N81" s="31"/>
    </x:row>
    <x:row r="82">
      <x:c r="B82" s="31"/>
      <x:c r="N82" s="31"/>
    </x:row>
    <x:row r="83">
      <x:c r="B83" s="31"/>
      <x:c r="N83" s="31"/>
    </x:row>
    <x:row r="84">
      <x:c r="B84" s="31"/>
      <x:c r="N84" s="31"/>
    </x:row>
    <x:row r="85">
      <x:c r="B85" s="31"/>
      <x:c r="N85" s="31"/>
    </x:row>
    <x:row r="86">
      <x:c r="B86" s="31"/>
      <x:c r="N86" s="31"/>
    </x:row>
    <x:row r="87">
      <x:c r="B87" s="31"/>
      <x:c r="N87" s="31"/>
    </x:row>
    <x:row r="88">
      <x:c r="B88" s="31"/>
      <x:c r="N88" s="31"/>
    </x:row>
    <x:row r="89">
      <x:c r="B89" s="31"/>
      <x:c r="N89" s="31"/>
    </x:row>
    <x:row r="90">
      <x:c r="B90" s="31"/>
      <x:c r="N90" s="31"/>
    </x:row>
    <x:row r="91">
      <x:c r="B91" s="31"/>
      <x:c r="N91" s="31"/>
    </x:row>
    <x:row r="92">
      <x:c r="B92" s="31"/>
      <x:c r="N92" s="31"/>
    </x:row>
    <x:row r="93">
      <x:c r="B93" s="31"/>
      <x:c r="N93" s="31"/>
    </x:row>
    <x:row r="94">
      <x:c r="B94" s="31"/>
      <x:c r="N94" s="31"/>
    </x:row>
    <x:row r="95">
      <x:c r="B95" s="31"/>
      <x:c r="N95" s="31"/>
    </x:row>
    <x:row r="96">
      <x:c r="B96" s="31"/>
      <x:c r="N96" s="31"/>
    </x:row>
    <x:row r="97">
      <x:c r="B97" s="31"/>
      <x:c r="N97" s="31"/>
    </x:row>
    <x:row r="98">
      <x:c r="B98" s="31"/>
      <x:c r="N98" s="31"/>
    </x:row>
    <x:row r="99">
      <x:c r="B99" s="31"/>
      <x:c r="N99" s="31"/>
    </x:row>
    <x:row r="100">
      <x:c r="B100" s="31"/>
      <x:c r="N100" s="31"/>
    </x:row>
    <x:row r="101">
      <x:c r="B101" s="31"/>
      <x:c r="N101" s="31"/>
    </x:row>
    <x:row r="102">
      <x:c r="B102" s="31"/>
      <x:c r="N102" s="31"/>
    </x:row>
    <x:row r="103">
      <x:c r="B103" s="31"/>
      <x:c r="N103" s="31"/>
    </x:row>
    <x:row r="104">
      <x:c r="B104" s="31"/>
      <x:c r="N104" s="31"/>
    </x:row>
    <x:row r="105">
      <x:c r="B105" s="31"/>
      <x:c r="N105" s="31"/>
    </x:row>
    <x:row r="106">
      <x:c r="B106" s="31"/>
      <x:c r="N106" s="31"/>
    </x:row>
    <x:row r="107">
      <x:c r="B107" s="31"/>
      <x:c r="N107" s="31"/>
    </x:row>
    <x:row r="108">
      <x:c r="B108" s="31"/>
      <x:c r="N108" s="31"/>
    </x:row>
    <x:row r="109">
      <x:c r="B109" s="31"/>
      <x:c r="N109" s="31"/>
    </x:row>
    <x:row r="110">
      <x:c r="B110" s="31"/>
      <x:c r="N110" s="31"/>
    </x:row>
    <x:row r="111">
      <x:c r="B111" s="31"/>
      <x:c r="N111" s="31"/>
    </x:row>
    <x:row r="112">
      <x:c r="B112" s="31"/>
      <x:c r="N112" s="31"/>
    </x:row>
    <x:row r="113">
      <x:c r="B113" s="31"/>
      <x:c r="N113" s="31"/>
    </x:row>
    <x:row r="114">
      <x:c r="B114" s="31"/>
      <x:c r="N114" s="31"/>
    </x:row>
    <x:row r="115">
      <x:c r="B115" s="31"/>
      <x:c r="N115" s="31"/>
    </x:row>
    <x:row r="116">
      <x:c r="B116" s="31"/>
      <x:c r="N116" s="31"/>
    </x:row>
    <x:row r="117">
      <x:c r="B117" s="31"/>
      <x:c r="N117" s="31"/>
    </x:row>
    <x:row r="118">
      <x:c r="B118" s="31"/>
      <x:c r="N118" s="31"/>
    </x:row>
    <x:row r="119">
      <x:c r="B119" s="31"/>
      <x:c r="N119" s="31"/>
    </x:row>
    <x:row r="120">
      <x:c r="B120" s="31"/>
      <x:c r="N120" s="31"/>
    </x:row>
    <x:row r="121">
      <x:c r="B121" s="31"/>
      <x:c r="N121" s="31"/>
    </x:row>
    <x:row r="122">
      <x:c r="B122" s="31"/>
      <x:c r="N122" s="31"/>
    </x:row>
    <x:row r="123">
      <x:c r="B123" s="31"/>
      <x:c r="N123" s="31"/>
    </x:row>
    <x:row r="124">
      <x:c r="B124" s="31"/>
      <x:c r="N124" s="31"/>
    </x:row>
    <x:row r="125">
      <x:c r="B125" s="31"/>
      <x:c r="N125" s="31"/>
    </x:row>
    <x:row r="126">
      <x:c r="B126" s="31"/>
      <x:c r="N126" s="31"/>
    </x:row>
    <x:row r="127">
      <x:c r="B127" s="31"/>
      <x:c r="N127" s="31"/>
    </x:row>
    <x:row r="128">
      <x:c r="B128" s="31"/>
      <x:c r="N128" s="31"/>
    </x:row>
    <x:row r="129">
      <x:c r="B129" s="31"/>
      <x:c r="N129" s="31"/>
    </x:row>
    <x:row r="130">
      <x:c r="B130" s="31"/>
      <x:c r="N130" s="31"/>
    </x:row>
    <x:row r="131">
      <x:c r="B131" s="31"/>
      <x:c r="N131" s="31"/>
    </x:row>
    <x:row r="132">
      <x:c r="B132" s="31"/>
      <x:c r="N132" s="31"/>
    </x:row>
    <x:row r="133">
      <x:c r="B133" s="31"/>
      <x:c r="N133" s="31"/>
    </x:row>
    <x:row r="134">
      <x:c r="B134" s="31"/>
      <x:c r="N134" s="31"/>
    </x:row>
    <x:row r="135">
      <x:c r="B135" s="31"/>
      <x:c r="N135" s="31"/>
    </x:row>
    <x:row r="136">
      <x:c r="B136" s="31"/>
      <x:c r="N136" s="31"/>
    </x:row>
    <x:row r="137">
      <x:c r="B137" s="31"/>
      <x:c r="N137" s="31"/>
    </x:row>
    <x:row r="138">
      <x:c r="B138" s="31"/>
      <x:c r="N138" s="31"/>
    </x:row>
    <x:row r="139">
      <x:c r="B139" s="31"/>
      <x:c r="N139" s="31"/>
    </x:row>
    <x:row r="140">
      <x:c r="B140" s="31"/>
      <x:c r="N140" s="31"/>
    </x:row>
    <x:row r="141">
      <x:c r="B141" s="31"/>
      <x:c r="N141" s="31"/>
    </x:row>
    <x:row r="142">
      <x:c r="B142" s="31"/>
      <x:c r="N142" s="31"/>
    </x:row>
    <x:row r="143">
      <x:c r="B143" s="31"/>
      <x:c r="N143" s="31"/>
    </x:row>
    <x:row r="144">
      <x:c r="B144" s="31"/>
      <x:c r="N144" s="31"/>
    </x:row>
    <x:row r="145">
      <x:c r="B145" s="31"/>
      <x:c r="N145" s="31"/>
    </x:row>
    <x:row r="146">
      <x:c r="B146" s="31"/>
      <x:c r="N146" s="31"/>
    </x:row>
    <x:row r="147">
      <x:c r="B147" s="31"/>
      <x:c r="N147" s="31"/>
    </x:row>
    <x:row r="148">
      <x:c r="B148" s="31"/>
      <x:c r="N148" s="31"/>
    </x:row>
    <x:row r="149">
      <x:c r="B149" s="31"/>
      <x:c r="N149" s="31"/>
    </x:row>
    <x:row r="150">
      <x:c r="B150" s="31"/>
      <x:c r="N150" s="31"/>
    </x:row>
    <x:row r="151">
      <x:c r="B151" s="31"/>
      <x:c r="N151" s="31"/>
    </x:row>
    <x:row r="152">
      <x:c r="B152" s="31"/>
      <x:c r="N152" s="31"/>
    </x:row>
    <x:row r="153">
      <x:c r="B153" s="31"/>
      <x:c r="N153" s="31"/>
    </x:row>
    <x:row r="154">
      <x:c r="B154" s="31"/>
      <x:c r="N154" s="31"/>
    </x:row>
    <x:row r="155">
      <x:c r="B155" s="31"/>
      <x:c r="N155" s="31"/>
    </x:row>
    <x:row r="156">
      <x:c r="B156" s="31"/>
      <x:c r="N156" s="31"/>
    </x:row>
    <x:row r="157">
      <x:c r="B157" s="31"/>
      <x:c r="N157" s="31"/>
    </x:row>
    <x:row r="158">
      <x:c r="B158" s="31"/>
      <x:c r="N158" s="31"/>
    </x:row>
    <x:row r="159">
      <x:c r="B159" s="31"/>
      <x:c r="N159" s="31"/>
    </x:row>
    <x:row r="160">
      <x:c r="B160" s="31"/>
      <x:c r="N160" s="31"/>
    </x:row>
    <x:row r="161">
      <x:c r="B161" s="31"/>
      <x:c r="N161" s="31"/>
    </x:row>
    <x:row r="162">
      <x:c r="B162" s="31"/>
      <x:c r="N162" s="31"/>
    </x:row>
    <x:row r="163">
      <x:c r="B163" s="31"/>
      <x:c r="N163" s="31"/>
    </x:row>
    <x:row r="164">
      <x:c r="B164" s="31"/>
      <x:c r="N164" s="31"/>
    </x:row>
    <x:row r="165">
      <x:c r="B165" s="31"/>
      <x:c r="N165" s="31"/>
    </x:row>
    <x:row r="166">
      <x:c r="B166" s="31"/>
      <x:c r="N166" s="31"/>
    </x:row>
    <x:row r="167">
      <x:c r="B167" s="31"/>
      <x:c r="N167" s="31"/>
    </x:row>
    <x:row r="168">
      <x:c r="B168" s="31"/>
      <x:c r="N168" s="31"/>
    </x:row>
    <x:row r="169">
      <x:c r="B169" s="31"/>
      <x:c r="N169" s="31"/>
    </x:row>
    <x:row r="170">
      <x:c r="B170" s="31"/>
      <x:c r="N170" s="31"/>
    </x:row>
    <x:row r="171">
      <x:c r="B171" s="31"/>
      <x:c r="N171" s="31"/>
    </x:row>
    <x:row r="172">
      <x:c r="B172" s="31"/>
      <x:c r="N172" s="31"/>
    </x:row>
    <x:row r="173">
      <x:c r="B173" s="31"/>
      <x:c r="N173" s="31"/>
    </x:row>
    <x:row r="174">
      <x:c r="B174" s="31"/>
      <x:c r="N174" s="31"/>
    </x:row>
    <x:row r="175">
      <x:c r="B175" s="31"/>
      <x:c r="N175" s="31"/>
    </x:row>
    <x:row r="176">
      <x:c r="B176" s="31"/>
      <x:c r="N176" s="31"/>
    </x:row>
    <x:row r="177">
      <x:c r="B177" s="31"/>
      <x:c r="N177" s="31"/>
    </x:row>
    <x:row r="178">
      <x:c r="B178" s="31"/>
      <x:c r="N178" s="31"/>
    </x:row>
    <x:row r="179">
      <x:c r="B179" s="31"/>
      <x:c r="N179" s="31"/>
    </x:row>
    <x:row r="180">
      <x:c r="B180" s="31"/>
      <x:c r="N180" s="31"/>
    </x:row>
    <x:row r="181">
      <x:c r="B181" s="31"/>
      <x:c r="N181" s="31"/>
    </x:row>
    <x:row r="182">
      <x:c r="B182" s="31"/>
      <x:c r="N182" s="31"/>
    </x:row>
    <x:row r="183">
      <x:c r="B183" s="31"/>
      <x:c r="N183" s="31"/>
    </x:row>
    <x:row r="184">
      <x:c r="B184" s="31"/>
      <x:c r="N184" s="31"/>
    </x:row>
    <x:row r="185">
      <x:c r="B185" s="31"/>
      <x:c r="N185" s="31"/>
    </x:row>
    <x:row r="186">
      <x:c r="B186" s="31"/>
      <x:c r="N186" s="31"/>
    </x:row>
    <x:row r="187">
      <x:c r="B187" s="31"/>
      <x:c r="N187" s="31"/>
    </x:row>
    <x:row r="188">
      <x:c r="B188" s="31"/>
      <x:c r="N188" s="31"/>
    </x:row>
    <x:row r="189">
      <x:c r="B189" s="31"/>
      <x:c r="N189" s="31"/>
    </x:row>
    <x:row r="190">
      <x:c r="B190" s="31"/>
      <x:c r="N190" s="31"/>
    </x:row>
    <x:row r="191">
      <x:c r="B191" s="31"/>
      <x:c r="N191" s="31"/>
    </x:row>
    <x:row r="192">
      <x:c r="B192" s="31"/>
      <x:c r="N192" s="31"/>
    </x:row>
    <x:row r="193">
      <x:c r="B193" s="31"/>
      <x:c r="N193" s="31"/>
    </x:row>
    <x:row r="194">
      <x:c r="B194" s="31"/>
      <x:c r="N194" s="31"/>
    </x:row>
    <x:row r="195">
      <x:c r="B195" s="31"/>
      <x:c r="N195" s="31"/>
    </x:row>
    <x:row r="196">
      <x:c r="B196" s="31"/>
      <x:c r="N196" s="31"/>
    </x:row>
    <x:row r="197">
      <x:c r="B197" s="31"/>
      <x:c r="N197" s="31"/>
    </x:row>
    <x:row r="198">
      <x:c r="B198" s="31"/>
      <x:c r="N198" s="31"/>
    </x:row>
    <x:row r="199">
      <x:c r="B199" s="31"/>
      <x:c r="N199" s="31"/>
    </x:row>
    <x:row r="200">
      <x:c r="B200" s="31"/>
      <x:c r="N200" s="31"/>
    </x:row>
  </x:sheetData>
  <x:dataValidations count="4">
    <x:dataValidation type="list" sqref="G2:G200">
      <x:formula1>"Yes,No,Partial,Unknown"</x:formula1>
    </x:dataValidation>
    <x:dataValidation type="list" sqref="K2:K200">
      <x:formula1>"No supplemental needed,Evaluate,Supplemental likely,Urgent counsel review"</x:formula1>
    </x:dataValidation>
    <x:dataValidation type="list" sqref="L2:L200">
      <x:formula1>"Pending,File supplemental,Do not file,Merge into next planned provisional,Counsel decision"</x:formula1>
    </x:dataValidation>
    <x:dataValidation type="list" sqref="M2:M200">
      <x:formula1>"No,Yes"</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42" hidden="0" customWidth="1"/>
    <x:col min="3" max="3" width="10" hidden="0" customWidth="1"/>
    <x:col min="4" max="4" width="12" hidden="0" customWidth="1"/>
    <x:col min="5" max="5" width="14" hidden="0" customWidth="1"/>
    <x:col min="6" max="6" width="18" hidden="0" customWidth="1"/>
    <x:col min="7" max="7" width="34" hidden="0" customWidth="1"/>
    <x:col min="8" max="8" width="34" hidden="0" customWidth="1"/>
    <x:col min="9" max="9" width="38" hidden="0" customWidth="1"/>
    <x:col min="10" max="10" width="28" hidden="0" customWidth="1"/>
    <x:col min="12" max="12" width="24" hidden="0" customWidth="1"/>
    <x:col min="13" max="13" width="26" hidden="0" customWidth="1"/>
  </x:cols>
  <x:sheetData>
    <x:row r="1">
      <x:c r="A1" s="38" t="str">
        <x:v>Criterion</x:v>
      </x:c>
      <x:c r="B1" s="38" t="str">
        <x:v>Question</x:v>
      </x:c>
      <x:c r="C1" s="38" t="str">
        <x:v>Weight</x:v>
      </x:c>
      <x:c r="D1" s="38" t="str">
        <x:v>Score 0-3</x:v>
      </x:c>
      <x:c r="E1" s="38" t="str">
        <x:v>Weighted score</x:v>
      </x:c>
      <x:c r="F1" s="38" t="str">
        <x:v>Decision significance</x:v>
      </x:c>
      <x:c r="G1" s="38" t="str">
        <x:v>Evidence required</x:v>
      </x:c>
      <x:c r="H1" s="38" t="str">
        <x:v>Default action</x:v>
      </x:c>
      <x:c r="I1" s="38" t="str">
        <x:v>Authority / rationale</x:v>
      </x:c>
      <x:c r="J1" s="38" t="str">
        <x:v>Notes</x:v>
      </x:c>
      <x:c r="L1" s="38" t="str">
        <x:v>Evaluation summary</x:v>
      </x:c>
      <x:c r="M1" s="38" t="str">
        <x:v>Value</x:v>
      </x:c>
    </x:row>
    <x:row r="2">
      <x:c r="A2" s="26" t="str">
        <x:v>NEW</x:v>
      </x:c>
      <x:c r="B2" s="26" t="str">
        <x:v>Is the improvement materially absent from the filed provisional's specification/drawings?</x:v>
      </x:c>
      <x:c r="C2" s="26" t="n">
        <x:v>5</x:v>
      </x:c>
      <x:c r="D2" s="26"/>
      <x:c r="E2" s="26" t="n">
        <x:f>IF(OR(C2="",D2=""),0,C2*D2)</x:f>
        <x:v>0</x:v>
      </x:c>
      <x:c r="F2" s="26" t="str">
        <x:v>Highest</x:v>
      </x:c>
      <x:c r="G2" s="26" t="str">
        <x:v>Element-by-element support comparison</x:v>
      </x:c>
      <x:c r="H2" s="26" t="str">
        <x:v>If yes, strongly favor prompt supplemental review</x:v>
      </x:c>
      <x:c r="I2" s="26" t="str">
        <x:v>MPEP 608.04; no substantive new matter can be added to filed provisional</x:v>
      </x:c>
      <x:c r="J2" s="26" t="str"/>
      <x:c r="K2"/>
      <x:c r="L2" s="26" t="str">
        <x:v>Total weighted score</x:v>
      </x:c>
      <x:c r="M2" s="26" t="n">
        <x:f>SUM(E2:E9)</x:f>
        <x:v>0</x:v>
      </x:c>
    </x:row>
    <x:row r="3">
      <x:c r="A3" s="26" t="str">
        <x:v>CLAIM</x:v>
      </x:c>
      <x:c r="B3" s="26" t="str">
        <x:v>Could the improvement become a limitation needed for patentability, commercial coverage, or a fallback claim?</x:v>
      </x:c>
      <x:c r="C3" s="26" t="n">
        <x:v>5</x:v>
      </x:c>
      <x:c r="D3" s="26"/>
      <x:c r="E3" s="26" t="n">
        <x:f>IF(OR(C3="",D3=""),0,C3*D3)</x:f>
        <x:v>0</x:v>
      </x:c>
      <x:c r="F3" s="26" t="str">
        <x:v>Highest</x:v>
      </x:c>
      <x:c r="G3" s="26" t="str">
        <x:v>Draft claim concept + support map</x:v>
      </x:c>
      <x:c r="H3" s="26" t="str">
        <x:v>If yes, favor supplemental review</x:v>
      </x:c>
      <x:c r="I3" s="26" t="str">
        <x:v>MPEP 211.05 priority depends on support</x:v>
      </x:c>
      <x:c r="J3" s="26" t="str"/>
      <x:c r="K3"/>
      <x:c r="L3" s="26" t="str">
        <x:v>Max possible</x:v>
      </x:c>
      <x:c r="M3" s="26" t="n">
        <x:f>SUM(C2:C9)*3</x:f>
        <x:v>93</x:v>
      </x:c>
    </x:row>
    <x:row r="4">
      <x:c r="A4" s="26" t="str">
        <x:v>DISC</x:v>
      </x:c>
      <x:c r="B4" s="26" t="str">
        <x:v>Is public, customer, partner, grant, publication, sale, or pilot disclosure approaching?</x:v>
      </x:c>
      <x:c r="C4" s="26" t="n">
        <x:v>5</x:v>
      </x:c>
      <x:c r="D4" s="26"/>
      <x:c r="E4" s="26" t="n">
        <x:f>IF(OR(C4="",D4=""),0,C4*D4)</x:f>
        <x:v>0</x:v>
      </x:c>
      <x:c r="F4" s="26" t="str">
        <x:v>Highest</x:v>
      </x:c>
      <x:c r="G4" s="26" t="str">
        <x:v>Disclosure log/date</x:v>
      </x:c>
      <x:c r="H4" s="26" t="str">
        <x:v>Escalate immediately to counsel before disclosure</x:v>
      </x:c>
      <x:c r="I4" s="26" t="str">
        <x:v>Priority/public-disclosure risk</x:v>
      </x:c>
      <x:c r="J4" s="26" t="str"/>
      <x:c r="K4"/>
      <x:c r="L4" s="26" t="str">
        <x:v>Percent of max</x:v>
      </x:c>
      <x:c r="M4" s="40" t="n">
        <x:f>IF(M3=0,0,M2/M3)</x:f>
        <x:v>0</x:v>
      </x:c>
    </x:row>
    <x:row r="5">
      <x:c r="A5" s="26" t="str">
        <x:v>DATA</x:v>
      </x:c>
      <x:c r="B5" s="26" t="str">
        <x:v>Is there enough concrete detail to describe how to make/use the improvement?</x:v>
      </x:c>
      <x:c r="C5" s="26" t="n">
        <x:v>4</x:v>
      </x:c>
      <x:c r="D5" s="26"/>
      <x:c r="E5" s="26" t="n">
        <x:f>IF(OR(C5="",D5=""),0,C5*D5)</x:f>
        <x:v>0</x:v>
      </x:c>
      <x:c r="F5" s="26" t="str">
        <x:v>High</x:v>
      </x:c>
      <x:c r="G5" s="26" t="str">
        <x:v>Diagram, algorithm, code, test, implementation notes</x:v>
      </x:c>
      <x:c r="H5" s="26" t="str">
        <x:v>Capture enabling detail before filing</x:v>
      </x:c>
      <x:c r="I5" s="26" t="str">
        <x:v>§112(a) support objective</x:v>
      </x:c>
      <x:c r="J5" s="26" t="str"/>
      <x:c r="K5"/>
      <x:c r="L5" s="26" t="str">
        <x:v>Default escalation</x:v>
      </x:c>
      <x:c r="M5" s="26" t="str">
        <x:f>IF(OR(D2&gt;=2,D3&gt;=2),"Prompt supplemental review",IF(M4&gt;=0.5,"Supplemental review","Routine capture"))</x:f>
        <x:v>Routine capture</x:v>
      </x:c>
    </x:row>
    <x:row r="6">
      <x:c r="A6" s="26" t="str">
        <x:v>INV</x:v>
      </x:c>
      <x:c r="B6" s="26" t="str">
        <x:v>Has the human contributor/conception history been identified?</x:v>
      </x:c>
      <x:c r="C6" s="26" t="n">
        <x:v>4</x:v>
      </x:c>
      <x:c r="D6" s="26"/>
      <x:c r="E6" s="26" t="n">
        <x:f>IF(OR(C6="",D6=""),0,C6*D6)</x:f>
        <x:v>0</x:v>
      </x:c>
      <x:c r="F6" s="26" t="str">
        <x:v>High</x:v>
      </x:c>
      <x:c r="G6" s="26" t="str">
        <x:v>Dated conception record and contributor statements</x:v>
      </x:c>
      <x:c r="H6" s="26" t="str">
        <x:v>Resolve before filing supplemental</x:v>
      </x:c>
      <x:c r="I6" s="26" t="str">
        <x:v>Inventor must have contributed to disclosed invention</x:v>
      </x:c>
      <x:c r="J6" s="26" t="str"/>
      <x:c r="K6"/>
      <x:c r="L6" s="26" t="str">
        <x:v>Counsel decision controls</x:v>
      </x:c>
      <x:c r="M6" s="26" t="str">
        <x:v>Yes</x:v>
      </x:c>
    </x:row>
    <x:row r="7">
      <x:c r="A7" s="26" t="str">
        <x:v>SCOPE</x:v>
      </x:c>
      <x:c r="B7" s="26" t="str">
        <x:v>Does the improvement materially broaden pest classes, sensor types, control modes, safety architecture, or group logic?</x:v>
      </x:c>
      <x:c r="C7" s="26" t="n">
        <x:v>3</x:v>
      </x:c>
      <x:c r="D7" s="26"/>
      <x:c r="E7" s="26" t="n">
        <x:f>IF(OR(C7="",D7=""),0,C7*D7)</x:f>
        <x:v>0</x:v>
      </x:c>
      <x:c r="F7" s="26" t="str">
        <x:v>Medium-high</x:v>
      </x:c>
      <x:c r="G7" s="26" t="str">
        <x:v>Disclosure matrix comparison</x:v>
      </x:c>
      <x:c r="H7" s="26" t="str">
        <x:v>Supplemental may create later priority ladder</x:v>
      </x:c>
      <x:c r="I7" s="26" t="str">
        <x:v>Representative-species/full-scope support</x:v>
      </x:c>
      <x:c r="J7" s="26" t="str"/>
      <x:c r="K7"/>
    </x:row>
    <x:row r="8">
      <x:c r="A8" s="26" t="str">
        <x:v>PA</x:v>
      </x:c>
      <x:c r="B8" s="26" t="str">
        <x:v>Does newly found prior art make this improvement strategically important as a distinction?</x:v>
      </x:c>
      <x:c r="C8" s="26" t="n">
        <x:v>3</x:v>
      </x:c>
      <x:c r="D8" s="26"/>
      <x:c r="E8" s="26" t="n">
        <x:f>IF(OR(C8="",D8=""),0,C8*D8)</x:f>
        <x:v>0</x:v>
      </x:c>
      <x:c r="F8" s="26" t="str">
        <x:v>Medium-high</x:v>
      </x:c>
      <x:c r="G8" s="26" t="str">
        <x:v>Claim chart / search memo</x:v>
      </x:c>
      <x:c r="H8" s="26" t="str">
        <x:v>Consider filing before external disclosure</x:v>
      </x:c>
      <x:c r="I8" s="26" t="str">
        <x:v>Patentability strategy</x:v>
      </x:c>
      <x:c r="J8" s="26" t="str"/>
      <x:c r="K8"/>
    </x:row>
    <x:row r="9">
      <x:c r="A9" s="26" t="str">
        <x:v>REG</x:v>
      </x:c>
      <x:c r="B9" s="26" t="str">
        <x:v>Does the improvement enable a materially different lawful deployment path or customer use?</x:v>
      </x:c>
      <x:c r="C9" s="26" t="n">
        <x:v>2</x:v>
      </x:c>
      <x:c r="D9" s="26"/>
      <x:c r="E9" s="26" t="n">
        <x:f>IF(OR(C9="",D9=""),0,C9*D9)</x:f>
        <x:v>0</x:v>
      </x:c>
      <x:c r="F9" s="26" t="str">
        <x:v>Medium</x:v>
      </x:c>
      <x:c r="G9" s="26" t="str">
        <x:v>Regulatory/business memo</x:v>
      </x:c>
      <x:c r="H9" s="26" t="str">
        <x:v>May justify separate disclosure even if claim value uncertain</x:v>
      </x:c>
      <x:c r="I9" s="26" t="str">
        <x:v>Business value separate from patentability</x:v>
      </x:c>
      <x:c r="J9" s="26" t="str"/>
      <x:c r="K9"/>
    </x:row>
  </x:sheetData>
  <x:dataValidations count="1">
    <x:dataValidation type="list" sqref="D2:D9">
      <x:formula1>"0,1,2,3"</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42" hidden="0" customWidth="1"/>
    <x:col min="5" max="5" width="14" hidden="0" customWidth="1"/>
    <x:col min="6" max="6" width="44" hidden="0" customWidth="1"/>
  </x:cols>
  <x:sheetData>
    <x:row r="1">
      <x:c r="A1" s="53" t="str">
        <x:v>Figure</x:v>
      </x:c>
      <x:c r="B1" s="53" t="str">
        <x:v>Reference numeral</x:v>
      </x:c>
      <x:c r="C1" s="53" t="str">
        <x:v>Element / function</x:v>
      </x:c>
      <x:c r="D1" s="53" t="str">
        <x:v>Primary spec support</x:v>
      </x:c>
      <x:c r="E1" s="53" t="str">
        <x:v>Status</x:v>
      </x:c>
      <x:c r="F1" s="53" t="str">
        <x:v>Notes</x:v>
      </x:c>
    </x:row>
    <x:row r="2">
      <x:c r="A2" s="26" t="str">
        <x:v>FIG. 1</x:v>
      </x:c>
      <x:c r="B2" s="26" t="n">
        <x:v>100</x:v>
      </x:c>
      <x:c r="C2" s="26" t="str">
        <x:v>Overall recognition-gated population-control system</x:v>
      </x:c>
      <x:c r="D2" s="26" t="str">
        <x:v>System Architecture; Reference Numeral Convention</x:v>
      </x:c>
      <x:c r="E2" s="26" t="str">
        <x:v>Audited</x:v>
      </x:c>
      <x:c r="F2" s="26" t="str">
        <x:v>Principal architecture</x:v>
      </x:c>
    </x:row>
    <x:row r="3">
      <x:c r="A3" s="26" t="str">
        <x:v>FIG. 1</x:v>
      </x:c>
      <x:c r="B3" s="26" t="n">
        <x:v>110</x:v>
      </x:c>
      <x:c r="C3" s="26" t="str">
        <x:v>Sensor subsystem</x:v>
      </x:c>
      <x:c r="D3" s="26" t="str">
        <x:v>System Architecture</x:v>
      </x:c>
      <x:c r="E3" s="26" t="str">
        <x:v>Audited</x:v>
      </x:c>
      <x:c r="F3" s="26" t="str">
        <x:v>Includes camera 112, microphone 114, optional other sensors 116</x:v>
      </x:c>
    </x:row>
    <x:row r="4">
      <x:c r="A4" s="26" t="str">
        <x:v>FIG. 1</x:v>
      </x:c>
      <x:c r="B4" s="26" t="n">
        <x:v>120</x:v>
      </x:c>
      <x:c r="C4" s="26" t="str">
        <x:v>Processing subsystem</x:v>
      </x:c>
      <x:c r="D4" s="26" t="str">
        <x:v>System Architecture</x:v>
      </x:c>
      <x:c r="E4" s="26" t="str">
        <x:v>Audited</x:v>
      </x:c>
      <x:c r="F4" s="26" t="str">
        <x:v>Edge processor 122; remote processor 124</x:v>
      </x:c>
    </x:row>
    <x:row r="5">
      <x:c r="A5" s="26" t="str">
        <x:v>FIG. 1</x:v>
      </x:c>
      <x:c r="B5" s="26" t="n">
        <x:v>130</x:v>
      </x:c>
      <x:c r="C5" s="26" t="str">
        <x:v>Model / configuration store</x:v>
      </x:c>
      <x:c r="D5" s="26" t="str">
        <x:v>AI Training; Computer Implementation</x:v>
      </x:c>
      <x:c r="E5" s="26" t="str">
        <x:v>Audited</x:v>
      </x:c>
      <x:c r="F5" s="26" t="str">
        <x:v>Versioned recognition and decision configuration</x:v>
      </x:c>
    </x:row>
    <x:row r="6">
      <x:c r="A6" s="26" t="str">
        <x:v>FIG. 1</x:v>
      </x:c>
      <x:c r="B6" s="26" t="n">
        <x:v>140</x:v>
      </x:c>
      <x:c r="C6" s="26" t="str">
        <x:v>Population registry</x:v>
      </x:c>
      <x:c r="D6" s="26" t="str">
        <x:v>Persistent Identification; Population Discovery</x:v>
      </x:c>
      <x:c r="E6" s="26" t="str">
        <x:v>Audited</x:v>
      </x:c>
      <x:c r="F6" s="26" t="str">
        <x:v>Local-population identity/state store</x:v>
      </x:c>
    </x:row>
    <x:row r="7">
      <x:c r="A7" s="26" t="str">
        <x:v>FIG. 1</x:v>
      </x:c>
      <x:c r="B7" s="26" t="n">
        <x:v>150</x:v>
      </x:c>
      <x:c r="C7" s="26" t="str">
        <x:v>Decision engine</x:v>
      </x:c>
      <x:c r="D7" s="26" t="str">
        <x:v>Control Authorization</x:v>
      </x:c>
      <x:c r="E7" s="26" t="str">
        <x:v>Audited</x:v>
      </x:c>
      <x:c r="F7" s="26" t="str">
        <x:v>Evaluates target, population, safety and readiness gates</x:v>
      </x:c>
    </x:row>
    <x:row r="8">
      <x:c r="A8" s="26" t="str">
        <x:v>FIG. 1</x:v>
      </x:c>
      <x:c r="B8" s="26" t="n">
        <x:v>160</x:v>
      </x:c>
      <x:c r="C8" s="26" t="str">
        <x:v>Treatment controller</x:v>
      </x:c>
      <x:c r="D8" s="26" t="str">
        <x:v>Control Authorization; Selective Delivery</x:v>
      </x:c>
      <x:c r="E8" s="26" t="str">
        <x:v>Audited</x:v>
      </x:c>
      <x:c r="F8" s="26" t="str">
        <x:v>Controls physical treatment interface</x:v>
      </x:c>
    </x:row>
    <x:row r="9">
      <x:c r="A9" s="26" t="str">
        <x:v>FIG. 1</x:v>
      </x:c>
      <x:c r="B9" s="26" t="n">
        <x:v>170</x:v>
      </x:c>
      <x:c r="C9" s="26" t="str">
        <x:v>Population-control delivery assembly</x:v>
      </x:c>
      <x:c r="D9" s="26" t="str">
        <x:v>Selective Access, Dispensing, and Delivery</x:v>
      </x:c>
      <x:c r="E9" s="26" t="str">
        <x:v>Audited</x:v>
      </x:c>
      <x:c r="F9" s="26" t="str">
        <x:v>Trough/feed/treatment interface</x:v>
      </x:c>
    </x:row>
    <x:row r="10">
      <x:c r="A10" s="26" t="str">
        <x:v>FIG. 1</x:v>
      </x:c>
      <x:c r="B10" s="26" t="n">
        <x:v>180</x:v>
      </x:c>
      <x:c r="C10" s="26" t="str">
        <x:v>Operator interface</x:v>
      </x:c>
      <x:c r="D10" s="26" t="str">
        <x:v>Control Authorization</x:v>
      </x:c>
      <x:c r="E10" s="26" t="str">
        <x:v>Audited</x:v>
      </x:c>
      <x:c r="F10" s="26" t="str">
        <x:v>Human-in-loop review/authorization</x:v>
      </x:c>
    </x:row>
    <x:row r="11">
      <x:c r="A11" s="26" t="str">
        <x:v>FIG. 1</x:v>
      </x:c>
      <x:c r="B11" s="26" t="n">
        <x:v>190</x:v>
      </x:c>
      <x:c r="C11" s="26" t="str">
        <x:v>Event log</x:v>
      </x:c>
      <x:c r="D11" s="26" t="str">
        <x:v>Data Logging</x:v>
      </x:c>
      <x:c r="E11" s="26" t="str">
        <x:v>Audited</x:v>
      </x:c>
      <x:c r="F11" s="26" t="str">
        <x:v>Audit record</x:v>
      </x:c>
    </x:row>
    <x:row r="12">
      <x:c r="A12" s="26" t="str">
        <x:v>FIG. 2</x:v>
      </x:c>
      <x:c r="B12" s="26" t="n">
        <x:v>210</x:v>
      </x:c>
      <x:c r="C12" s="26" t="str">
        <x:v>Sensor-data acquisition</x:v>
      </x:c>
      <x:c r="D12" s="26" t="str">
        <x:v>Audio and Video Acquisition</x:v>
      </x:c>
      <x:c r="E12" s="26" t="str">
        <x:v>Audited</x:v>
      </x:c>
      <x:c r="F12" s="26" t="str"/>
    </x:row>
    <x:row r="13">
      <x:c r="A13" s="26" t="str">
        <x:v>FIG. 2</x:v>
      </x:c>
      <x:c r="B13" s="26" t="n">
        <x:v>220</x:v>
      </x:c>
      <x:c r="C13" s="26" t="str">
        <x:v>Preprocessing</x:v>
      </x:c>
      <x:c r="D13" s="26" t="str">
        <x:v>Audio and Video Acquisition</x:v>
      </x:c>
      <x:c r="E13" s="26" t="str">
        <x:v>Audited</x:v>
      </x:c>
      <x:c r="F13" s="26" t="str"/>
    </x:row>
    <x:row r="14">
      <x:c r="A14" s="26" t="str">
        <x:v>FIG. 2</x:v>
      </x:c>
      <x:c r="B14" s="26" t="n">
        <x:v>230</x:v>
      </x:c>
      <x:c r="C14" s="26" t="str">
        <x:v>Detection / tracking</x:v>
      </x:c>
      <x:c r="D14" s="26" t="str">
        <x:v>Audio and Video Acquisition</x:v>
      </x:c>
      <x:c r="E14" s="26" t="str">
        <x:v>Audited</x:v>
      </x:c>
      <x:c r="F14" s="26" t="str"/>
    </x:row>
    <x:row r="15">
      <x:c r="A15" s="26" t="str">
        <x:v>FIG. 2</x:v>
      </x:c>
      <x:c r="B15" s="26" t="n">
        <x:v>240</x:v>
      </x:c>
      <x:c r="C15" s="26" t="str">
        <x:v>Target / non-target classification</x:v>
      </x:c>
      <x:c r="D15" s="26" t="str">
        <x:v>Audio and Video Acquisition</x:v>
      </x:c>
      <x:c r="E15" s="26" t="str">
        <x:v>Audited</x:v>
      </x:c>
      <x:c r="F15" s="26" t="str"/>
    </x:row>
    <x:row r="16">
      <x:c r="A16" s="26" t="str">
        <x:v>FIG. 2</x:v>
      </x:c>
      <x:c r="B16" s="26" t="n">
        <x:v>250</x:v>
      </x:c>
      <x:c r="C16" s="26" t="str">
        <x:v>Identity / re-identification</x:v>
      </x:c>
      <x:c r="D16" s="26" t="str">
        <x:v>Persistent Identification</x:v>
      </x:c>
      <x:c r="E16" s="26" t="str">
        <x:v>Audited</x:v>
      </x:c>
      <x:c r="F16" s="26" t="str"/>
    </x:row>
    <x:row r="17">
      <x:c r="A17" s="26" t="str">
        <x:v>FIG. 2</x:v>
      </x:c>
      <x:c r="B17" s="26" t="n">
        <x:v>260</x:v>
      </x:c>
      <x:c r="C17" s="26" t="str">
        <x:v>Evidence fusion</x:v>
      </x:c>
      <x:c r="D17" s="26" t="str">
        <x:v>Audio and Video Acquisition</x:v>
      </x:c>
      <x:c r="E17" s="26" t="str">
        <x:v>Audited</x:v>
      </x:c>
      <x:c r="F17" s="26" t="str">
        <x:v>Audio/video or other modality fusion</x:v>
      </x:c>
    </x:row>
    <x:row r="18">
      <x:c r="A18" s="26" t="str">
        <x:v>FIG. 2</x:v>
      </x:c>
      <x:c r="B18" s="26" t="n">
        <x:v>270</x:v>
      </x:c>
      <x:c r="C18" s="26" t="str">
        <x:v>Confidence / unknown-state processing</x:v>
      </x:c>
      <x:c r="D18" s="26" t="str">
        <x:v>Audio and Video Acquisition; Safety</x:v>
      </x:c>
      <x:c r="E18" s="26" t="str">
        <x:v>Audited</x:v>
      </x:c>
      <x:c r="F18" s="26" t="str"/>
    </x:row>
    <x:row r="19">
      <x:c r="A19" s="26" t="str">
        <x:v>FIG. 2</x:v>
      </x:c>
      <x:c r="B19" s="26" t="n">
        <x:v>280</x:v>
      </x:c>
      <x:c r="C19" s="26" t="str">
        <x:v>Recognition output</x:v>
      </x:c>
      <x:c r="D19" s="26" t="str">
        <x:v>Control Authorization</x:v>
      </x:c>
      <x:c r="E19" s="26" t="str">
        <x:v>Audited</x:v>
      </x:c>
      <x:c r="F19" s="26" t="str"/>
    </x:row>
    <x:row r="20">
      <x:c r="A20" s="26" t="str">
        <x:v>FIG. 3</x:v>
      </x:c>
      <x:c r="B20" s="26" t="n">
        <x:v>310</x:v>
      </x:c>
      <x:c r="C20" s="26" t="str">
        <x:v>Training corpus</x:v>
      </x:c>
      <x:c r="D20" s="26" t="str">
        <x:v>AI Training</x:v>
      </x:c>
      <x:c r="E20" s="26" t="str">
        <x:v>Audited</x:v>
      </x:c>
      <x:c r="F20" s="26" t="str"/>
    </x:row>
    <x:row r="21">
      <x:c r="A21" s="26" t="str">
        <x:v>FIG. 3</x:v>
      </x:c>
      <x:c r="B21" s="26" t="n">
        <x:v>312</x:v>
      </x:c>
      <x:c r="C21" s="26" t="str">
        <x:v>Positive target examples</x:v>
      </x:c>
      <x:c r="D21" s="26" t="str">
        <x:v>AI Training</x:v>
      </x:c>
      <x:c r="E21" s="26" t="str">
        <x:v>Audited</x:v>
      </x:c>
      <x:c r="F21" s="26" t="str">
        <x:v>Feral-pig or other target examples</x:v>
      </x:c>
    </x:row>
    <x:row r="22">
      <x:c r="A22" s="26" t="str">
        <x:v>FIG. 3</x:v>
      </x:c>
      <x:c r="B22" s="26" t="n">
        <x:v>314</x:v>
      </x:c>
      <x:c r="C22" s="26" t="str">
        <x:v>Negative non-target examples</x:v>
      </x:c>
      <x:c r="D22" s="26" t="str">
        <x:v>AI Training</x:v>
      </x:c>
      <x:c r="E22" s="26" t="str">
        <x:v>Audited</x:v>
      </x:c>
      <x:c r="F22" s="26" t="str">
        <x:v>Expected local fauna</x:v>
      </x:c>
    </x:row>
    <x:row r="23">
      <x:c r="A23" s="26" t="str">
        <x:v>FIG. 3</x:v>
      </x:c>
      <x:c r="B23" s="26" t="n">
        <x:v>320</x:v>
      </x:c>
      <x:c r="C23" s="26" t="str">
        <x:v>Pretraining</x:v>
      </x:c>
      <x:c r="D23" s="26" t="str">
        <x:v>AI Training</x:v>
      </x:c>
      <x:c r="E23" s="26" t="str">
        <x:v>Audited</x:v>
      </x:c>
      <x:c r="F23" s="26" t="str"/>
    </x:row>
    <x:row r="24">
      <x:c r="A24" s="26" t="str">
        <x:v>FIG. 3</x:v>
      </x:c>
      <x:c r="B24" s="26" t="n">
        <x:v>330</x:v>
      </x:c>
      <x:c r="C24" s="26" t="str">
        <x:v>Local observations</x:v>
      </x:c>
      <x:c r="D24" s="26" t="str">
        <x:v>AI Training</x:v>
      </x:c>
      <x:c r="E24" s="26" t="str">
        <x:v>Audited</x:v>
      </x:c>
      <x:c r="F24" s="26" t="str"/>
    </x:row>
    <x:row r="25">
      <x:c r="A25" s="26" t="str">
        <x:v>FIG. 3</x:v>
      </x:c>
      <x:c r="B25" s="26" t="n">
        <x:v>340</x:v>
      </x:c>
      <x:c r="C25" s="26" t="str">
        <x:v>Fine-tuning / calibration</x:v>
      </x:c>
      <x:c r="D25" s="26" t="str">
        <x:v>AI Training</x:v>
      </x:c>
      <x:c r="E25" s="26" t="str">
        <x:v>Audited</x:v>
      </x:c>
      <x:c r="F25" s="26" t="str"/>
    </x:row>
    <x:row r="26">
      <x:c r="A26" s="26" t="str">
        <x:v>FIG. 3</x:v>
      </x:c>
      <x:c r="B26" s="26" t="n">
        <x:v>350</x:v>
      </x:c>
      <x:c r="C26" s="26" t="str">
        <x:v>Validation</x:v>
      </x:c>
      <x:c r="D26" s="26" t="str">
        <x:v>AI Training</x:v>
      </x:c>
      <x:c r="E26" s="26" t="str">
        <x:v>Audited</x:v>
      </x:c>
      <x:c r="F26" s="26" t="str"/>
    </x:row>
    <x:row r="27">
      <x:c r="A27" s="26" t="str">
        <x:v>FIG. 3</x:v>
      </x:c>
      <x:c r="B27" s="26" t="n">
        <x:v>360</x:v>
      </x:c>
      <x:c r="C27" s="26" t="str">
        <x:v>Deployed model</x:v>
      </x:c>
      <x:c r="D27" s="26" t="str">
        <x:v>AI Training</x:v>
      </x:c>
      <x:c r="E27" s="26" t="str">
        <x:v>Audited</x:v>
      </x:c>
      <x:c r="F27" s="26" t="str"/>
    </x:row>
    <x:row r="28">
      <x:c r="A28" s="26" t="str">
        <x:v>FIG. 3</x:v>
      </x:c>
      <x:c r="B28" s="26" t="n">
        <x:v>370</x:v>
      </x:c>
      <x:c r="C28" s="26" t="str">
        <x:v>Rollback model</x:v>
      </x:c>
      <x:c r="D28" s="26" t="str">
        <x:v>AI Training</x:v>
      </x:c>
      <x:c r="E28" s="26" t="str">
        <x:v>Audited</x:v>
      </x:c>
      <x:c r="F28" s="26" t="str"/>
    </x:row>
    <x:row r="29">
      <x:c r="A29" s="26" t="str">
        <x:v>FIG. 4</x:v>
      </x:c>
      <x:c r="B29" s="26" t="n">
        <x:v>410</x:v>
      </x:c>
      <x:c r="C29" s="26" t="str">
        <x:v>Population registry</x:v>
      </x:c>
      <x:c r="D29" s="26" t="str">
        <x:v>Persistent Identification</x:v>
      </x:c>
      <x:c r="E29" s="26" t="str">
        <x:v>Audited</x:v>
      </x:c>
      <x:c r="F29" s="26" t="str"/>
    </x:row>
    <x:row r="30">
      <x:c r="A30" s="26" t="str">
        <x:v>FIG. 4</x:v>
      </x:c>
      <x:c r="B30" s="26" t="n">
        <x:v>420</x:v>
      </x:c>
      <x:c r="C30" s="26" t="str">
        <x:v>Identity record</x:v>
      </x:c>
      <x:c r="D30" s="26" t="str">
        <x:v>Persistent Identification</x:v>
      </x:c>
      <x:c r="E30" s="26" t="str">
        <x:v>Audited</x:v>
      </x:c>
      <x:c r="F30" s="26" t="str"/>
    </x:row>
    <x:row r="31">
      <x:c r="A31" s="26" t="str">
        <x:v>FIG. 4</x:v>
      </x:c>
      <x:c r="B31" s="26" t="n">
        <x:v>422</x:v>
      </x:c>
      <x:c r="C31" s="26" t="str">
        <x:v>Persistent identifier</x:v>
      </x:c>
      <x:c r="D31" s="26" t="str">
        <x:v>Persistent Identification</x:v>
      </x:c>
      <x:c r="E31" s="26" t="str">
        <x:v>Audited</x:v>
      </x:c>
      <x:c r="F31" s="26" t="str"/>
    </x:row>
    <x:row r="32">
      <x:c r="A32" s="26" t="str">
        <x:v>FIG. 4</x:v>
      </x:c>
      <x:c r="B32" s="26" t="n">
        <x:v>424</x:v>
      </x:c>
      <x:c r="C32" s="26" t="str">
        <x:v>Visual features</x:v>
      </x:c>
      <x:c r="D32" s="26" t="str">
        <x:v>Persistent Identification</x:v>
      </x:c>
      <x:c r="E32" s="26" t="str">
        <x:v>Audited</x:v>
      </x:c>
      <x:c r="F32" s="26" t="str"/>
    </x:row>
    <x:row r="33">
      <x:c r="A33" s="26" t="str">
        <x:v>FIG. 4</x:v>
      </x:c>
      <x:c r="B33" s="26" t="n">
        <x:v>426</x:v>
      </x:c>
      <x:c r="C33" s="26" t="str">
        <x:v>Audio features</x:v>
      </x:c>
      <x:c r="D33" s="26" t="str">
        <x:v>Persistent Identification</x:v>
      </x:c>
      <x:c r="E33" s="26" t="str">
        <x:v>Audited</x:v>
      </x:c>
      <x:c r="F33" s="26" t="str"/>
    </x:row>
    <x:row r="34">
      <x:c r="A34" s="26" t="str">
        <x:v>FIG. 4</x:v>
      </x:c>
      <x:c r="B34" s="26" t="n">
        <x:v>428</x:v>
      </x:c>
      <x:c r="C34" s="26" t="str">
        <x:v>Morphology / behavior features</x:v>
      </x:c>
      <x:c r="D34" s="26" t="str">
        <x:v>Persistent Identification</x:v>
      </x:c>
      <x:c r="E34" s="26" t="str">
        <x:v>Audited</x:v>
      </x:c>
      <x:c r="F34" s="26" t="str"/>
    </x:row>
    <x:row r="35">
      <x:c r="A35" s="26" t="str">
        <x:v>FIG. 4</x:v>
      </x:c>
      <x:c r="B35" s="26" t="n">
        <x:v>430</x:v>
      </x:c>
      <x:c r="C35" s="26" t="str">
        <x:v>First / last seen information</x:v>
      </x:c>
      <x:c r="D35" s="26" t="str">
        <x:v>Persistent Identification</x:v>
      </x:c>
      <x:c r="E35" s="26" t="str">
        <x:v>Audited</x:v>
      </x:c>
      <x:c r="F35" s="26" t="str"/>
    </x:row>
    <x:row r="36">
      <x:c r="A36" s="26" t="str">
        <x:v>FIG. 4</x:v>
      </x:c>
      <x:c r="B36" s="26" t="n">
        <x:v>432</x:v>
      </x:c>
      <x:c r="C36" s="26" t="str">
        <x:v>Group association</x:v>
      </x:c>
      <x:c r="D36" s="26" t="str">
        <x:v>Persistent Identification</x:v>
      </x:c>
      <x:c r="E36" s="26" t="str">
        <x:v>Audited</x:v>
      </x:c>
      <x:c r="F36" s="26" t="str"/>
    </x:row>
    <x:row r="37">
      <x:c r="A37" s="26" t="str">
        <x:v>FIG. 4</x:v>
      </x:c>
      <x:c r="B37" s="26" t="n">
        <x:v>434</x:v>
      </x:c>
      <x:c r="C37" s="26" t="str">
        <x:v>Treatment status</x:v>
      </x:c>
      <x:c r="D37" s="26" t="str">
        <x:v>Reproductive / genetic control</x:v>
      </x:c>
      <x:c r="E37" s="26" t="str">
        <x:v>Audited</x:v>
      </x:c>
      <x:c r="F37" s="26" t="str"/>
    </x:row>
    <x:row r="38">
      <x:c r="A38" s="26" t="str">
        <x:v>FIG. 4</x:v>
      </x:c>
      <x:c r="B38" s="26" t="n">
        <x:v>436</x:v>
      </x:c>
      <x:c r="C38" s="26" t="str">
        <x:v>Confidence / evidence</x:v>
      </x:c>
      <x:c r="D38" s="26" t="str">
        <x:v>Persistent Identification</x:v>
      </x:c>
      <x:c r="E38" s="26" t="str">
        <x:v>Audited</x:v>
      </x:c>
      <x:c r="F38" s="26" t="str"/>
    </x:row>
    <x:row r="39">
      <x:c r="A39" s="26" t="str">
        <x:v>FIG. 5</x:v>
      </x:c>
      <x:c r="B39" s="26" t="n">
        <x:v>510</x:v>
      </x:c>
      <x:c r="C39" s="26" t="str">
        <x:v>Candidate state</x:v>
      </x:c>
      <x:c r="D39" s="26" t="str">
        <x:v>Population Registry State Machine</x:v>
      </x:c>
      <x:c r="E39" s="26" t="str">
        <x:v>Audited</x:v>
      </x:c>
      <x:c r="F39" s="26" t="str"/>
    </x:row>
    <x:row r="40">
      <x:c r="A40" s="26" t="str">
        <x:v>FIG. 5</x:v>
      </x:c>
      <x:c r="B40" s="26" t="n">
        <x:v>520</x:v>
      </x:c>
      <x:c r="C40" s="26" t="str">
        <x:v>Active state</x:v>
      </x:c>
      <x:c r="D40" s="26" t="str">
        <x:v>Population Registry State Machine</x:v>
      </x:c>
      <x:c r="E40" s="26" t="str">
        <x:v>Audited</x:v>
      </x:c>
      <x:c r="F40" s="26" t="str"/>
    </x:row>
    <x:row r="41">
      <x:c r="A41" s="26" t="str">
        <x:v>FIG. 5</x:v>
      </x:c>
      <x:c r="B41" s="26" t="n">
        <x:v>530</x:v>
      </x:c>
      <x:c r="C41" s="26" t="str">
        <x:v>Inactive state</x:v>
      </x:c>
      <x:c r="D41" s="26" t="str">
        <x:v>Population Registry State Machine</x:v>
      </x:c>
      <x:c r="E41" s="26" t="str">
        <x:v>Audited</x:v>
      </x:c>
      <x:c r="F41" s="26" t="str"/>
    </x:row>
    <x:row r="42">
      <x:c r="A42" s="26" t="str">
        <x:v>FIG. 5</x:v>
      </x:c>
      <x:c r="B42" s="26" t="n">
        <x:v>540</x:v>
      </x:c>
      <x:c r="C42" s="26" t="str">
        <x:v>Removed state</x:v>
      </x:c>
      <x:c r="D42" s="26" t="str">
        <x:v>Population Registry State Machine</x:v>
      </x:c>
      <x:c r="E42" s="26" t="str">
        <x:v>Audited</x:v>
      </x:c>
      <x:c r="F42" s="26" t="str"/>
    </x:row>
    <x:row r="43">
      <x:c r="A43" s="26" t="str">
        <x:v>FIG. 5</x:v>
      </x:c>
      <x:c r="B43" s="26" t="n">
        <x:v>550</x:v>
      </x:c>
      <x:c r="C43" s="26" t="str">
        <x:v>Unknown / unresolved state</x:v>
      </x:c>
      <x:c r="D43" s="26" t="str">
        <x:v>Population Registry State Machine</x:v>
      </x:c>
      <x:c r="E43" s="26" t="str">
        <x:v>Audited</x:v>
      </x:c>
      <x:c r="F43" s="26" t="str"/>
    </x:row>
    <x:row r="44">
      <x:c r="A44" s="26" t="str">
        <x:v>FIG. 6</x:v>
      </x:c>
      <x:c r="B44" s="26" t="n">
        <x:v>610</x:v>
      </x:c>
      <x:c r="C44" s="26" t="str">
        <x:v>Discovery mode</x:v>
      </x:c>
      <x:c r="D44" s="26" t="str">
        <x:v>Population Discovery</x:v>
      </x:c>
      <x:c r="E44" s="26" t="str">
        <x:v>Audited</x:v>
      </x:c>
      <x:c r="F44" s="26" t="str"/>
    </x:row>
    <x:row r="45">
      <x:c r="A45" s="26" t="str">
        <x:v>FIG. 6</x:v>
      </x:c>
      <x:c r="B45" s="26" t="n">
        <x:v>620</x:v>
      </x:c>
      <x:c r="C45" s="26" t="str">
        <x:v>New-identity discovery assessment</x:v>
      </x:c>
      <x:c r="D45" s="26" t="str">
        <x:v>Population Discovery</x:v>
      </x:c>
      <x:c r="E45" s="26" t="str">
        <x:v>Audited</x:v>
      </x:c>
      <x:c r="F45" s="26" t="str"/>
    </x:row>
    <x:row r="46">
      <x:c r="A46" s="26" t="str">
        <x:v>FIG. 6</x:v>
      </x:c>
      <x:c r="B46" s="26" t="n">
        <x:v>630</x:v>
      </x:c>
      <x:c r="C46" s="26" t="str">
        <x:v>Re-observation / coverage assessment</x:v>
      </x:c>
      <x:c r="D46" s="26" t="str">
        <x:v>Population Discovery</x:v>
      </x:c>
      <x:c r="E46" s="26" t="str">
        <x:v>Audited</x:v>
      </x:c>
      <x:c r="F46" s="26" t="str"/>
    </x:row>
    <x:row r="47">
      <x:c r="A47" s="26" t="str">
        <x:v>FIG. 6</x:v>
      </x:c>
      <x:c r="B47" s="26" t="n">
        <x:v>640</x:v>
      </x:c>
      <x:c r="C47" s="26" t="str">
        <x:v>Representation criterion</x:v>
      </x:c>
      <x:c r="D47" s="26" t="str">
        <x:v>Population Discovery</x:v>
      </x:c>
      <x:c r="E47" s="26" t="str">
        <x:v>Audited</x:v>
      </x:c>
      <x:c r="F47" s="26" t="str"/>
    </x:row>
    <x:row r="48">
      <x:c r="A48" s="26" t="str">
        <x:v>FIG. 6</x:v>
      </x:c>
      <x:c r="B48" s="26" t="n">
        <x:v>650</x:v>
      </x:c>
      <x:c r="C48" s="26" t="str">
        <x:v>Representation-ready state</x:v>
      </x:c>
      <x:c r="D48" s="26" t="str">
        <x:v>Population Discovery</x:v>
      </x:c>
      <x:c r="E48" s="26" t="str">
        <x:v>Audited</x:v>
      </x:c>
      <x:c r="F48" s="26" t="str"/>
    </x:row>
    <x:row r="49">
      <x:c r="A49" s="26" t="str">
        <x:v>FIG. 6</x:v>
      </x:c>
      <x:c r="B49" s="26" t="n">
        <x:v>660</x:v>
      </x:c>
      <x:c r="C49" s="26" t="str">
        <x:v>Unknown / new-pig event</x:v>
      </x:c>
      <x:c r="D49" s="26" t="str">
        <x:v>Population Discovery</x:v>
      </x:c>
      <x:c r="E49" s="26" t="str">
        <x:v>Audited</x:v>
      </x:c>
      <x:c r="F49" s="26" t="str"/>
    </x:row>
    <x:row r="50">
      <x:c r="A50" s="26" t="str">
        <x:v>FIG. 7</x:v>
      </x:c>
      <x:c r="B50" s="26" t="n">
        <x:v>710</x:v>
      </x:c>
      <x:c r="C50" s="26" t="str">
        <x:v>Active-member set</x:v>
      </x:c>
      <x:c r="D50" s="26" t="str">
        <x:v>Population Presence</x:v>
      </x:c>
      <x:c r="E50" s="26" t="str">
        <x:v>Audited</x:v>
      </x:c>
      <x:c r="F50" s="26" t="str"/>
    </x:row>
    <x:row r="51">
      <x:c r="A51" s="26" t="str">
        <x:v>FIG. 7</x:v>
      </x:c>
      <x:c r="B51" s="26" t="n">
        <x:v>720</x:v>
      </x:c>
      <x:c r="C51" s="26" t="str">
        <x:v>Current observations</x:v>
      </x:c>
      <x:c r="D51" s="26" t="str">
        <x:v>Population Presence</x:v>
      </x:c>
      <x:c r="E51" s="26" t="str">
        <x:v>Audited</x:v>
      </x:c>
      <x:c r="F51" s="26" t="str"/>
    </x:row>
    <x:row r="52">
      <x:c r="A52" s="26" t="str">
        <x:v>FIG. 7</x:v>
      </x:c>
      <x:c r="B52" s="26" t="n">
        <x:v>730</x:v>
      </x:c>
      <x:c r="C52" s="26" t="str">
        <x:v>Identity / recency matching</x:v>
      </x:c>
      <x:c r="D52" s="26" t="str">
        <x:v>Population Presence</x:v>
      </x:c>
      <x:c r="E52" s="26" t="str">
        <x:v>Audited</x:v>
      </x:c>
      <x:c r="F52" s="26" t="str"/>
    </x:row>
    <x:row r="53">
      <x:c r="A53" s="26" t="str">
        <x:v>FIG. 7</x:v>
      </x:c>
      <x:c r="B53" s="26" t="n">
        <x:v>740</x:v>
      </x:c>
      <x:c r="C53" s="26" t="str">
        <x:v>Required-member test</x:v>
      </x:c>
      <x:c r="D53" s="26" t="str">
        <x:v>Population Presence</x:v>
      </x:c>
      <x:c r="E53" s="26" t="str">
        <x:v>Audited</x:v>
      </x:c>
      <x:c r="F53" s="26" t="str">
        <x:v>All-active-members or alternative criterion</x:v>
      </x:c>
    </x:row>
    <x:row r="54">
      <x:c r="A54" s="26" t="str">
        <x:v>FIG. 7</x:v>
      </x:c>
      <x:c r="B54" s="26" t="n">
        <x:v>750</x:v>
      </x:c>
      <x:c r="C54" s="26" t="str">
        <x:v>Unknown / non-target veto</x:v>
      </x:c>
      <x:c r="D54" s="26" t="str">
        <x:v>Population Presence; Safety</x:v>
      </x:c>
      <x:c r="E54" s="26" t="str">
        <x:v>Audited</x:v>
      </x:c>
      <x:c r="F54" s="26" t="str"/>
    </x:row>
    <x:row r="55">
      <x:c r="A55" s="26" t="str">
        <x:v>FIG. 7</x:v>
      </x:c>
      <x:c r="B55" s="26" t="n">
        <x:v>760</x:v>
      </x:c>
      <x:c r="C55" s="26" t="str">
        <x:v>Authorization state</x:v>
      </x:c>
      <x:c r="D55" s="26" t="str">
        <x:v>Population Presence</x:v>
      </x:c>
      <x:c r="E55" s="26" t="str">
        <x:v>Audited</x:v>
      </x:c>
      <x:c r="F55" s="26" t="str"/>
    </x:row>
    <x:row r="56">
      <x:c r="A56" s="26" t="str">
        <x:v>FIG. 7</x:v>
      </x:c>
      <x:c r="B56" s="26" t="n">
        <x:v>770</x:v>
      </x:c>
      <x:c r="C56" s="26" t="str">
        <x:v>Inhibit / collect more evidence</x:v>
      </x:c>
      <x:c r="D56" s="26" t="str">
        <x:v>Population Presence</x:v>
      </x:c>
      <x:c r="E56" s="26" t="str">
        <x:v>Audited</x:v>
      </x:c>
      <x:c r="F56" s="26" t="str"/>
    </x:row>
    <x:row r="57">
      <x:c r="A57" s="26" t="str">
        <x:v>FIG. 8</x:v>
      </x:c>
      <x:c r="B57" s="26" t="n">
        <x:v>810</x:v>
      </x:c>
      <x:c r="C57" s="26" t="str">
        <x:v>Target gate</x:v>
      </x:c>
      <x:c r="D57" s="26" t="str">
        <x:v>Control Authorization</x:v>
      </x:c>
      <x:c r="E57" s="26" t="str">
        <x:v>Audited</x:v>
      </x:c>
      <x:c r="F57" s="26" t="str"/>
    </x:row>
    <x:row r="58">
      <x:c r="A58" s="26" t="str">
        <x:v>FIG. 8</x:v>
      </x:c>
      <x:c r="B58" s="26" t="n">
        <x:v>820</x:v>
      </x:c>
      <x:c r="C58" s="26" t="str">
        <x:v>Population gate</x:v>
      </x:c>
      <x:c r="D58" s="26" t="str">
        <x:v>Control Authorization</x:v>
      </x:c>
      <x:c r="E58" s="26" t="str">
        <x:v>Audited</x:v>
      </x:c>
      <x:c r="F58" s="26" t="str"/>
    </x:row>
    <x:row r="59">
      <x:c r="A59" s="26" t="str">
        <x:v>FIG. 8</x:v>
      </x:c>
      <x:c r="B59" s="26" t="n">
        <x:v>830</x:v>
      </x:c>
      <x:c r="C59" s="26" t="str">
        <x:v>Location / schedule gate</x:v>
      </x:c>
      <x:c r="D59" s="26" t="str">
        <x:v>Control Authorization</x:v>
      </x:c>
      <x:c r="E59" s="26" t="str">
        <x:v>Audited</x:v>
      </x:c>
      <x:c r="F59" s="26" t="str"/>
    </x:row>
    <x:row r="60">
      <x:c r="A60" s="26" t="str">
        <x:v>FIG. 8</x:v>
      </x:c>
      <x:c r="B60" s="26" t="n">
        <x:v>840</x:v>
      </x:c>
      <x:c r="C60" s="26" t="str">
        <x:v>Safety-veto gate</x:v>
      </x:c>
      <x:c r="D60" s="26" t="str">
        <x:v>Safety</x:v>
      </x:c>
      <x:c r="E60" s="26" t="str">
        <x:v>Audited</x:v>
      </x:c>
      <x:c r="F60" s="26" t="str"/>
    </x:row>
    <x:row r="61">
      <x:c r="A61" s="26" t="str">
        <x:v>FIG. 8</x:v>
      </x:c>
      <x:c r="B61" s="26" t="n">
        <x:v>850</x:v>
      </x:c>
      <x:c r="C61" s="26" t="str">
        <x:v>Equipment-health gate</x:v>
      </x:c>
      <x:c r="D61" s="26" t="str">
        <x:v>Safety</x:v>
      </x:c>
      <x:c r="E61" s="26" t="str">
        <x:v>Audited</x:v>
      </x:c>
      <x:c r="F61" s="26" t="str"/>
    </x:row>
    <x:row r="62">
      <x:c r="A62" s="26" t="str">
        <x:v>FIG. 8</x:v>
      </x:c>
      <x:c r="B62" s="26" t="n">
        <x:v>860</x:v>
      </x:c>
      <x:c r="C62" s="26" t="str">
        <x:v>Human / autonomous authorization mode</x:v>
      </x:c>
      <x:c r="D62" s="26" t="str">
        <x:v>Control Authorization</x:v>
      </x:c>
      <x:c r="E62" s="26" t="str">
        <x:v>Audited</x:v>
      </x:c>
      <x:c r="F62" s="26" t="str"/>
    </x:row>
    <x:row r="63">
      <x:c r="A63" s="26" t="str">
        <x:v>FIG. 8</x:v>
      </x:c>
      <x:c r="B63" s="26" t="n">
        <x:v>870</x:v>
      </x:c>
      <x:c r="C63" s="26" t="str">
        <x:v>Arm state</x:v>
      </x:c>
      <x:c r="D63" s="26" t="str">
        <x:v>Control Authorization</x:v>
      </x:c>
      <x:c r="E63" s="26" t="str">
        <x:v>Audited</x:v>
      </x:c>
      <x:c r="F63" s="26" t="str"/>
    </x:row>
    <x:row r="64">
      <x:c r="A64" s="26" t="str">
        <x:v>FIG. 8</x:v>
      </x:c>
      <x:c r="B64" s="26" t="n">
        <x:v>880</x:v>
      </x:c>
      <x:c r="C64" s="26" t="str">
        <x:v>Execute state</x:v>
      </x:c>
      <x:c r="D64" s="26" t="str">
        <x:v>Control Authorization</x:v>
      </x:c>
      <x:c r="E64" s="26" t="str">
        <x:v>Audited</x:v>
      </x:c>
      <x:c r="F64" s="26" t="str"/>
    </x:row>
    <x:row r="65">
      <x:c r="A65" s="26" t="str">
        <x:v>FIG. 8</x:v>
      </x:c>
      <x:c r="B65" s="26" t="n">
        <x:v>890</x:v>
      </x:c>
      <x:c r="C65" s="26" t="str">
        <x:v>Disarm / restrict state</x:v>
      </x:c>
      <x:c r="D65" s="26" t="str">
        <x:v>Control Authorization</x:v>
      </x:c>
      <x:c r="E65" s="26" t="str">
        <x:v>Audited</x:v>
      </x:c>
      <x:c r="F65" s="26" t="str"/>
    </x:row>
    <x:row r="66">
      <x:c r="A66" s="26" t="str">
        <x:v>FIG. 9</x:v>
      </x:c>
      <x:c r="B66" s="26" t="n">
        <x:v>900</x:v>
      </x:c>
      <x:c r="C66" s="26" t="str">
        <x:v>Population-control station</x:v>
      </x:c>
      <x:c r="D66" s="26" t="str">
        <x:v>Attraction / Trough</x:v>
      </x:c>
      <x:c r="E66" s="26" t="str">
        <x:v>Audited</x:v>
      </x:c>
      <x:c r="F66" s="26" t="str"/>
    </x:row>
    <x:row r="67">
      <x:c r="A67" s="26" t="str">
        <x:v>FIG. 9</x:v>
      </x:c>
      <x:c r="B67" s="26" t="n">
        <x:v>910</x:v>
      </x:c>
      <x:c r="C67" s="26" t="str">
        <x:v>Camera</x:v>
      </x:c>
      <x:c r="D67" s="26" t="str">
        <x:v>Attraction / Trough</x:v>
      </x:c>
      <x:c r="E67" s="26" t="str">
        <x:v>Audited</x:v>
      </x:c>
      <x:c r="F67" s="26" t="str"/>
    </x:row>
    <x:row r="68">
      <x:c r="A68" s="26" t="str">
        <x:v>FIG. 9</x:v>
      </x:c>
      <x:c r="B68" s="26" t="n">
        <x:v>920</x:v>
      </x:c>
      <x:c r="C68" s="26" t="str">
        <x:v>Microphone</x:v>
      </x:c>
      <x:c r="D68" s="26" t="str">
        <x:v>Attraction / Trough</x:v>
      </x:c>
      <x:c r="E68" s="26" t="str">
        <x:v>Audited</x:v>
      </x:c>
      <x:c r="F68" s="26" t="str"/>
    </x:row>
    <x:row r="69">
      <x:c r="A69" s="26" t="str">
        <x:v>FIG. 9</x:v>
      </x:c>
      <x:c r="B69" s="26" t="n">
        <x:v>930</x:v>
      </x:c>
      <x:c r="C69" s="26" t="str">
        <x:v>Trough</x:v>
      </x:c>
      <x:c r="D69" s="26" t="str">
        <x:v>Attraction / Trough</x:v>
      </x:c>
      <x:c r="E69" s="26" t="str">
        <x:v>Audited</x:v>
      </x:c>
      <x:c r="F69" s="26" t="str"/>
    </x:row>
    <x:row r="70">
      <x:c r="A70" s="26" t="str">
        <x:v>FIG. 9</x:v>
      </x:c>
      <x:c r="B70" s="26" t="n">
        <x:v>932</x:v>
      </x:c>
      <x:c r="C70" s="26" t="str">
        <x:v>Conditioning-feed region</x:v>
      </x:c>
      <x:c r="D70" s="26" t="str">
        <x:v>Attraction / Conditioning</x:v>
      </x:c>
      <x:c r="E70" s="26" t="str">
        <x:v>Audited</x:v>
      </x:c>
      <x:c r="F70" s="26" t="str"/>
    </x:row>
    <x:row r="71">
      <x:c r="A71" s="26" t="str">
        <x:v>FIG. 9</x:v>
      </x:c>
      <x:c r="B71" s="26" t="n">
        <x:v>934</x:v>
      </x:c>
      <x:c r="C71" s="26" t="str">
        <x:v>Treatment-feed region</x:v>
      </x:c>
      <x:c r="D71" s="26" t="str">
        <x:v>Treatment Delivery</x:v>
      </x:c>
      <x:c r="E71" s="26" t="str">
        <x:v>Audited</x:v>
      </x:c>
      <x:c r="F71" s="26" t="str"/>
    </x:row>
    <x:row r="72">
      <x:c r="A72" s="26" t="str">
        <x:v>FIG. 9</x:v>
      </x:c>
      <x:c r="B72" s="26" t="n">
        <x:v>940</x:v>
      </x:c>
      <x:c r="C72" s="26" t="str">
        <x:v>Access member / gate</x:v>
      </x:c>
      <x:c r="D72" s="26" t="str">
        <x:v>Treatment Delivery</x:v>
      </x:c>
      <x:c r="E72" s="26" t="str">
        <x:v>Audited</x:v>
      </x:c>
      <x:c r="F72" s="26" t="str"/>
    </x:row>
    <x:row r="73">
      <x:c r="A73" s="26" t="str">
        <x:v>FIG. 9</x:v>
      </x:c>
      <x:c r="B73" s="26" t="n">
        <x:v>950</x:v>
      </x:c>
      <x:c r="C73" s="26" t="str">
        <x:v>Actuator / dispenser</x:v>
      </x:c>
      <x:c r="D73" s="26" t="str">
        <x:v>Treatment Delivery</x:v>
      </x:c>
      <x:c r="E73" s="26" t="str">
        <x:v>Audited</x:v>
      </x:c>
      <x:c r="F73" s="26" t="str"/>
    </x:row>
    <x:row r="74">
      <x:c r="A74" s="26" t="str">
        <x:v>FIG. 9</x:v>
      </x:c>
      <x:c r="B74" s="26" t="n">
        <x:v>960</x:v>
      </x:c>
      <x:c r="C74" s="26" t="str">
        <x:v>Controller</x:v>
      </x:c>
      <x:c r="D74" s="26" t="str">
        <x:v>Treatment Delivery</x:v>
      </x:c>
      <x:c r="E74" s="26" t="str">
        <x:v>Audited</x:v>
      </x:c>
      <x:c r="F74" s="26" t="str"/>
    </x:row>
    <x:row r="75">
      <x:c r="A75" s="26" t="str">
        <x:v>FIG. 9</x:v>
      </x:c>
      <x:c r="B75" s="26" t="n">
        <x:v>970</x:v>
      </x:c>
      <x:c r="C75" s="26" t="str">
        <x:v>Position / health sensor</x:v>
      </x:c>
      <x:c r="D75" s="26" t="str">
        <x:v>Safety / Health</x:v>
      </x:c>
      <x:c r="E75" s="26" t="str">
        <x:v>Audited</x:v>
      </x:c>
      <x:c r="F75" s="26" t="str"/>
    </x:row>
    <x:row r="76">
      <x:c r="A76" s="26" t="str">
        <x:v>FIG. 10</x:v>
      </x:c>
      <x:c r="B76" s="26" t="n">
        <x:v>1000</x:v>
      </x:c>
      <x:c r="C76" s="26" t="str">
        <x:v>Common recognition / authorization controller</x:v>
      </x:c>
      <x:c r="D76" s="26" t="str">
        <x:v>Treatment Classes</x:v>
      </x:c>
      <x:c r="E76" s="26" t="str">
        <x:v>Audited</x:v>
      </x:c>
      <x:c r="F76" s="26" t="str"/>
    </x:row>
    <x:row r="77">
      <x:c r="A77" s="26" t="str">
        <x:v>FIG. 10</x:v>
      </x:c>
      <x:c r="B77" s="26" t="n">
        <x:v>1010</x:v>
      </x:c>
      <x:c r="C77" s="26" t="str">
        <x:v>General toxicant</x:v>
      </x:c>
      <x:c r="D77" s="26" t="str">
        <x:v>Treatment Classes</x:v>
      </x:c>
      <x:c r="E77" s="26" t="str">
        <x:v>Audited</x:v>
      </x:c>
      <x:c r="F77" s="26" t="str"/>
    </x:row>
    <x:row r="78">
      <x:c r="A78" s="26" t="str">
        <x:v>FIG. 10</x:v>
      </x:c>
      <x:c r="B78" s="26" t="n">
        <x:v>1020</x:v>
      </x:c>
      <x:c r="C78" s="26" t="str">
        <x:v>Predetermined toxicant</x:v>
      </x:c>
      <x:c r="D78" s="26" t="str">
        <x:v>Treatment Classes</x:v>
      </x:c>
      <x:c r="E78" s="26" t="str">
        <x:v>Audited</x:v>
      </x:c>
      <x:c r="F78" s="26" t="str">
        <x:v>Warfarin, sodium nitrite examples</x:v>
      </x:c>
    </x:row>
    <x:row r="79">
      <x:c r="A79" s="26" t="str">
        <x:v>FIG. 10</x:v>
      </x:c>
      <x:c r="B79" s="26" t="n">
        <x:v>1030</x:v>
      </x:c>
      <x:c r="C79" s="26" t="str">
        <x:v>Species-selective toxicant</x:v>
      </x:c>
      <x:c r="D79" s="26" t="str">
        <x:v>Treatment Classes</x:v>
      </x:c>
      <x:c r="E79" s="26" t="str">
        <x:v>Audited</x:v>
      </x:c>
      <x:c r="F79" s="26" t="str">
        <x:v>Concrete inventor-conceived species still required for broad reliance</x:v>
      </x:c>
    </x:row>
    <x:row r="80">
      <x:c r="A80" s="26" t="str">
        <x:v>FIG. 10</x:v>
      </x:c>
      <x:c r="B80" s="26" t="n">
        <x:v>1040</x:v>
      </x:c>
      <x:c r="C80" s="26" t="str">
        <x:v>Reproductive control</x:v>
      </x:c>
      <x:c r="D80" s="26" t="str">
        <x:v>Treatment Classes</x:v>
      </x:c>
      <x:c r="E80" s="26" t="str">
        <x:v>Audited</x:v>
      </x:c>
      <x:c r="F80" s="26" t="str">
        <x:v>GnRH/GonaCon, PZP, diazacon representative literature context</x:v>
      </x:c>
    </x:row>
    <x:row r="81">
      <x:c r="A81" s="26" t="str">
        <x:v>FIG. 10</x:v>
      </x:c>
      <x:c r="B81" s="26" t="n">
        <x:v>1050</x:v>
      </x:c>
      <x:c r="C81" s="26" t="str">
        <x:v>Genetic-modification control</x:v>
      </x:c>
      <x:c r="D81" s="26" t="str">
        <x:v>Treatment Classes</x:v>
      </x:c>
      <x:c r="E81" s="26" t="str">
        <x:v>Audited</x:v>
      </x:c>
      <x:c r="F81" s="26" t="str">
        <x:v>High §112(a) / inventor-confirmation risk</x:v>
      </x:c>
    </x:row>
    <x:row r="82">
      <x:c r="A82" s="26" t="str">
        <x:v>FIG. 10</x:v>
      </x:c>
      <x:c r="B82" s="26" t="n">
        <x:v>1060</x:v>
      </x:c>
      <x:c r="C82" s="26" t="str">
        <x:v>Conditioning / feed</x:v>
      </x:c>
      <x:c r="D82" s="26" t="str">
        <x:v>Treatment Classes</x:v>
      </x:c>
      <x:c r="E82" s="26" t="str">
        <x:v>Audited</x:v>
      </x:c>
      <x:c r="F82" s="26" t="str"/>
    </x:row>
    <x:row r="83">
      <x:c r="A83" s="26" t="str">
        <x:v>FIG. 10</x:v>
      </x:c>
      <x:c r="B83" s="26" t="n">
        <x:v>1070</x:v>
      </x:c>
      <x:c r="C83" s="26" t="str">
        <x:v>Capture + euthanasia</x:v>
      </x:c>
      <x:c r="D83" s="26" t="str">
        <x:v>Treatment Classes</x:v>
      </x:c>
      <x:c r="E83" s="26" t="str">
        <x:v>Audited</x:v>
      </x:c>
      <x:c r="F83" s="26" t="str"/>
    </x:row>
    <x:row r="84">
      <x:c r="A84" s="26" t="str">
        <x:v>FIG. 10</x:v>
      </x:c>
      <x:c r="B84" s="26" t="n">
        <x:v>1080</x:v>
      </x:c>
      <x:c r="C84" s="26" t="str">
        <x:v>Treatment interface</x:v>
      </x:c>
      <x:c r="D84" s="26" t="str">
        <x:v>Treatment Classes</x:v>
      </x:c>
      <x:c r="E84" s="26" t="str">
        <x:v>Audited</x:v>
      </x:c>
      <x:c r="F84" s="26" t="str"/>
    </x:row>
    <x:row r="85">
      <x:c r="A85" s="26" t="str">
        <x:v>FIG. 11</x:v>
      </x:c>
      <x:c r="B85" s="26" t="n">
        <x:v>1110</x:v>
      </x:c>
      <x:c r="C85" s="26" t="str">
        <x:v>Event logger</x:v>
      </x:c>
      <x:c r="D85" s="26" t="str">
        <x:v>Data Logging</x:v>
      </x:c>
      <x:c r="E85" s="26" t="str">
        <x:v>Audited</x:v>
      </x:c>
      <x:c r="F85" s="26" t="str"/>
    </x:row>
    <x:row r="86">
      <x:c r="A86" s="26" t="str">
        <x:v>FIG. 11</x:v>
      </x:c>
      <x:c r="B86" s="26" t="n">
        <x:v>1120</x:v>
      </x:c>
      <x:c r="C86" s="26" t="str">
        <x:v>Sensor data</x:v>
      </x:c>
      <x:c r="D86" s="26" t="str">
        <x:v>Data Logging</x:v>
      </x:c>
      <x:c r="E86" s="26" t="str">
        <x:v>Audited</x:v>
      </x:c>
      <x:c r="F86" s="26" t="str"/>
    </x:row>
    <x:row r="87">
      <x:c r="A87" s="26" t="str">
        <x:v>FIG. 11</x:v>
      </x:c>
      <x:c r="B87" s="26" t="n">
        <x:v>1130</x:v>
      </x:c>
      <x:c r="C87" s="26" t="str">
        <x:v>Recognition outputs</x:v>
      </x:c>
      <x:c r="D87" s="26" t="str">
        <x:v>Data Logging</x:v>
      </x:c>
      <x:c r="E87" s="26" t="str">
        <x:v>Audited</x:v>
      </x:c>
      <x:c r="F87" s="26" t="str"/>
    </x:row>
    <x:row r="88">
      <x:c r="A88" s="26" t="str">
        <x:v>FIG. 11</x:v>
      </x:c>
      <x:c r="B88" s="26" t="n">
        <x:v>1140</x:v>
      </x:c>
      <x:c r="C88" s="26" t="str">
        <x:v>Population state</x:v>
      </x:c>
      <x:c r="D88" s="26" t="str">
        <x:v>Data Logging</x:v>
      </x:c>
      <x:c r="E88" s="26" t="str">
        <x:v>Audited</x:v>
      </x:c>
      <x:c r="F88" s="26" t="str"/>
    </x:row>
    <x:row r="89">
      <x:c r="A89" s="26" t="str">
        <x:v>FIG. 11</x:v>
      </x:c>
      <x:c r="B89" s="26" t="n">
        <x:v>1150</x:v>
      </x:c>
      <x:c r="C89" s="26" t="str">
        <x:v>Authorization state</x:v>
      </x:c>
      <x:c r="D89" s="26" t="str">
        <x:v>Data Logging</x:v>
      </x:c>
      <x:c r="E89" s="26" t="str">
        <x:v>Audited</x:v>
      </x:c>
      <x:c r="F89" s="26" t="str"/>
    </x:row>
    <x:row r="90">
      <x:c r="A90" s="26" t="str">
        <x:v>FIG. 11</x:v>
      </x:c>
      <x:c r="B90" s="26" t="n">
        <x:v>1160</x:v>
      </x:c>
      <x:c r="C90" s="26" t="str">
        <x:v>Operator action</x:v>
      </x:c>
      <x:c r="D90" s="26" t="str">
        <x:v>Data Logging</x:v>
      </x:c>
      <x:c r="E90" s="26" t="str">
        <x:v>Audited</x:v>
      </x:c>
      <x:c r="F90" s="26" t="str"/>
    </x:row>
    <x:row r="91">
      <x:c r="A91" s="26" t="str">
        <x:v>FIG. 11</x:v>
      </x:c>
      <x:c r="B91" s="26" t="n">
        <x:v>1170</x:v>
      </x:c>
      <x:c r="C91" s="26" t="str">
        <x:v>Actuator feedback</x:v>
      </x:c>
      <x:c r="D91" s="26" t="str">
        <x:v>Data Logging</x:v>
      </x:c>
      <x:c r="E91" s="26" t="str">
        <x:v>Audited</x:v>
      </x:c>
      <x:c r="F91" s="26" t="str"/>
    </x:row>
    <x:row r="92">
      <x:c r="A92" s="26" t="str">
        <x:v>FIG. 11</x:v>
      </x:c>
      <x:c r="B92" s="26" t="n">
        <x:v>1180</x:v>
      </x:c>
      <x:c r="C92" s="26" t="str">
        <x:v>Model / configuration version</x:v>
      </x:c>
      <x:c r="D92" s="26" t="str">
        <x:v>Data Logging</x:v>
      </x:c>
      <x:c r="E92" s="26" t="str">
        <x:v>Audited</x:v>
      </x:c>
      <x:c r="F92" s="26" t="str"/>
    </x:row>
    <x:row r="93">
      <x:c r="A93" s="26" t="str">
        <x:v>FIG. 11</x:v>
      </x:c>
      <x:c r="B93" s="26" t="n">
        <x:v>1190</x:v>
      </x:c>
      <x:c r="C93" s="26" t="str">
        <x:v>Registry / treatment-status update</x:v>
      </x:c>
      <x:c r="D93" s="26" t="str">
        <x:v>Data Logging</x:v>
      </x:c>
      <x:c r="E93" s="26" t="str">
        <x:v>Audited</x:v>
      </x:c>
      <x:c r="F93" s="26" t="str"/>
    </x:row>
    <x:row r="94">
      <x:c r="A94" s="26" t="str">
        <x:v>FIG. 12</x:v>
      </x:c>
      <x:c r="B94" s="26" t="n">
        <x:v>1210</x:v>
      </x:c>
      <x:c r="C94" s="26" t="str">
        <x:v>Common target-animal core</x:v>
      </x:c>
      <x:c r="D94" s="26" t="str">
        <x:v>Other Target Animals</x:v>
      </x:c>
      <x:c r="E94" s="26" t="str">
        <x:v>Audited</x:v>
      </x:c>
      <x:c r="F94" s="26" t="str"/>
    </x:row>
    <x:row r="95">
      <x:c r="A95" s="26" t="str">
        <x:v>FIG. 12</x:v>
      </x:c>
      <x:c r="B95" s="26" t="n">
        <x:v>1220</x:v>
      </x:c>
      <x:c r="C95" s="26" t="str">
        <x:v>Terrestrial-mammal module</x:v>
      </x:c>
      <x:c r="D95" s="26" t="str">
        <x:v>Other Target Animals</x:v>
      </x:c>
      <x:c r="E95" s="26" t="str">
        <x:v>Audited</x:v>
      </x:c>
      <x:c r="F95" s="26" t="str"/>
    </x:row>
    <x:row r="96">
      <x:c r="A96" s="26" t="str">
        <x:v>FIG. 12</x:v>
      </x:c>
      <x:c r="B96" s="26" t="n">
        <x:v>1230</x:v>
      </x:c>
      <x:c r="C96" s="26" t="str">
        <x:v>Bird module</x:v>
      </x:c>
      <x:c r="D96" s="26" t="str">
        <x:v>Other Target Animals</x:v>
      </x:c>
      <x:c r="E96" s="26" t="str">
        <x:v>Audited</x:v>
      </x:c>
      <x:c r="F96" s="26" t="str"/>
    </x:row>
    <x:row r="97">
      <x:c r="A97" s="26" t="str">
        <x:v>FIG. 12</x:v>
      </x:c>
      <x:c r="B97" s="26" t="n">
        <x:v>1240</x:v>
      </x:c>
      <x:c r="C97" s="26" t="str">
        <x:v>Reptile / amphibian module</x:v>
      </x:c>
      <x:c r="D97" s="26" t="str">
        <x:v>Other Target Animals</x:v>
      </x:c>
      <x:c r="E97" s="26" t="str">
        <x:v>Audited</x:v>
      </x:c>
      <x:c r="F97" s="26" t="str"/>
    </x:row>
    <x:row r="98">
      <x:c r="A98" s="26" t="str">
        <x:v>FIG. 12</x:v>
      </x:c>
      <x:c r="B98" s="26" t="n">
        <x:v>1250</x:v>
      </x:c>
      <x:c r="C98" s="26" t="str">
        <x:v>Aquatic-vertebrate module</x:v>
      </x:c>
      <x:c r="D98" s="26" t="str">
        <x:v>Other Target Animals</x:v>
      </x:c>
      <x:c r="E98" s="26" t="str">
        <x:v>Audited</x:v>
      </x:c>
      <x:c r="F98" s="26" t="str"/>
    </x:row>
    <x:row r="99">
      <x:c r="A99" s="26" t="str">
        <x:v>FIG. 12</x:v>
      </x:c>
      <x:c r="B99" s="26" t="n">
        <x:v>1260</x:v>
      </x:c>
      <x:c r="C99" s="26" t="str">
        <x:v>Arthropod module</x:v>
      </x:c>
      <x:c r="D99" s="26" t="str">
        <x:v>Other Target Animals</x:v>
      </x:c>
      <x:c r="E99" s="26" t="str">
        <x:v>Audited</x:v>
      </x:c>
      <x:c r="F99" s="26" t="str"/>
    </x:row>
    <x:row r="100">
      <x:c r="A100" s="26" t="str">
        <x:v>FIG. 12</x:v>
      </x:c>
      <x:c r="B100" s="26" t="n">
        <x:v>1270</x:v>
      </x:c>
      <x:c r="C100" s="26" t="str">
        <x:v>Sensor adaptation</x:v>
      </x:c>
      <x:c r="D100" s="26" t="str">
        <x:v>Other Target Animals</x:v>
      </x:c>
      <x:c r="E100" s="26" t="str">
        <x:v>Audited</x:v>
      </x:c>
      <x:c r="F100" s="26" t="str"/>
    </x:row>
    <x:row r="101">
      <x:c r="A101" s="26" t="str">
        <x:v>FIG. 12</x:v>
      </x:c>
      <x:c r="B101" s="26" t="n">
        <x:v>1280</x:v>
      </x:c>
      <x:c r="C101" s="26" t="str">
        <x:v>Treatment adaptation</x:v>
      </x:c>
      <x:c r="D101" s="26" t="str">
        <x:v>Other Target Animals</x:v>
      </x:c>
      <x:c r="E101" s="26" t="str">
        <x:v>Audited</x:v>
      </x:c>
      <x:c r="F101" s="26" t="str"/>
    </x:row>
    <x:row r="102">
      <x:c r="A102" s="26" t="str">
        <x:v>FIG. 12</x:v>
      </x:c>
      <x:c r="B102" s="26" t="n">
        <x:v>1290</x:v>
      </x:c>
      <x:c r="C102" s="26" t="str">
        <x:v>Non-target / regulatory configuration</x:v>
      </x:c>
      <x:c r="D102" s="26" t="str">
        <x:v>Other Target Animals</x:v>
      </x:c>
      <x:c r="E102" s="26" t="str">
        <x:v>Audited</x:v>
      </x:c>
      <x:c r="F102" s="26" t="str"/>
    </x:row>
    <x:row r="103">
      <x:c r="A103" s="26" t="str">
        <x:v>FIG. 1</x:v>
      </x:c>
      <x:c r="B103" s="26" t="n">
        <x:v>112</x:v>
      </x:c>
      <x:c r="C103" s="26" t="str">
        <x:v>Camera</x:v>
      </x:c>
      <x:c r="D103" s="26" t="str">
        <x:v>System Architecture; Reference Numeral Convention</x:v>
      </x:c>
      <x:c r="E103" s="26" t="str">
        <x:v>Audited</x:v>
      </x:c>
      <x:c r="F103" s="26" t="str">
        <x:v>Subcomponent of sensor subsystem 110</x:v>
      </x:c>
    </x:row>
    <x:row r="104">
      <x:c r="A104" s="26" t="str">
        <x:v>FIG. 1</x:v>
      </x:c>
      <x:c r="B104" s="26" t="n">
        <x:v>114</x:v>
      </x:c>
      <x:c r="C104" s="26" t="str">
        <x:v>Microphone</x:v>
      </x:c>
      <x:c r="D104" s="26" t="str">
        <x:v>System Architecture; Reference Numeral Convention</x:v>
      </x:c>
      <x:c r="E104" s="26" t="str">
        <x:v>Audited</x:v>
      </x:c>
      <x:c r="F104" s="26" t="str">
        <x:v>Subcomponent of sensor subsystem 110</x:v>
      </x:c>
    </x:row>
    <x:row r="105">
      <x:c r="A105" s="26" t="str">
        <x:v>FIG. 1</x:v>
      </x:c>
      <x:c r="B105" s="26" t="n">
        <x:v>116</x:v>
      </x:c>
      <x:c r="C105" s="26" t="str">
        <x:v>Other sensor(s)</x:v>
      </x:c>
      <x:c r="D105" s="26" t="str">
        <x:v>System Architecture; Reference Numeral Convention</x:v>
      </x:c>
      <x:c r="E105" s="26" t="str">
        <x:v>Audited</x:v>
      </x:c>
      <x:c r="F105" s="26" t="str">
        <x:v>Optional sensor subcomponent</x:v>
      </x:c>
    </x:row>
    <x:row r="106">
      <x:c r="A106" s="26" t="str">
        <x:v>FIG. 1</x:v>
      </x:c>
      <x:c r="B106" s="26" t="n">
        <x:v>122</x:v>
      </x:c>
      <x:c r="C106" s="26" t="str">
        <x:v>Edge processor</x:v>
      </x:c>
      <x:c r="D106" s="26" t="str">
        <x:v>System Architecture; Reference Numeral Convention</x:v>
      </x:c>
      <x:c r="E106" s="26" t="str">
        <x:v>Audited</x:v>
      </x:c>
      <x:c r="F106" s="26" t="str">
        <x:v>Subcomponent of processing subsystem 120</x:v>
      </x:c>
    </x:row>
    <x:row r="107">
      <x:c r="A107" s="26" t="str">
        <x:v>FIG. 1</x:v>
      </x:c>
      <x:c r="B107" s="26" t="n">
        <x:v>124</x:v>
      </x:c>
      <x:c r="C107" s="26" t="str">
        <x:v>Remote processor</x:v>
      </x:c>
      <x:c r="D107" s="26" t="str">
        <x:v>System Architecture; Reference Numeral Convention</x:v>
      </x:c>
      <x:c r="E107" s="26" t="str">
        <x:v>Audited</x:v>
      </x:c>
      <x:c r="F107" s="26" t="str">
        <x:v>Subcomponent of processing subsystem 120</x:v>
      </x:c>
    </x:row>
    <x:row r="108">
      <x:c r="A108" s="26" t="str">
        <x:v>FIG. 2</x:v>
      </x:c>
      <x:c r="B108" s="26" t="n">
        <x:v>262</x:v>
      </x:c>
      <x:c r="C108" s="26" t="str">
        <x:v>Audio evidence</x:v>
      </x:c>
      <x:c r="D108" s="26" t="str">
        <x:v>Audio and Video Acquisition; Reference Numeral Convention</x:v>
      </x:c>
      <x:c r="E108" s="26" t="str">
        <x:v>Audited</x:v>
      </x:c>
      <x:c r="F108" s="26" t="str">
        <x:v>Feeds evidence fusion 260</x:v>
      </x:c>
    </x:row>
    <x:row r="109">
      <x:c r="A109" s="26" t="str">
        <x:v>FIG. 2</x:v>
      </x:c>
      <x:c r="B109" s="26" t="n">
        <x:v>264</x:v>
      </x:c>
      <x:c r="C109" s="26" t="str">
        <x:v>Video evidence</x:v>
      </x:c>
      <x:c r="D109" s="26" t="str">
        <x:v>Audio and Video Acquisition; Reference Numeral Convention</x:v>
      </x:c>
      <x:c r="E109" s="26" t="str">
        <x:v>Audited</x:v>
      </x:c>
      <x:c r="F109" s="26" t="str">
        <x:v>Feeds evidence fusion 260</x:v>
      </x:c>
    </x:row>
    <x:row r="110">
      <x:c r="A110" s="26" t="str">
        <x:v>FIG. 4</x:v>
      </x:c>
      <x:c r="B110" s="26" t="n">
        <x:v>440</x:v>
      </x:c>
      <x:c r="C110" s="26" t="str">
        <x:v>Active working set</x:v>
      </x:c>
      <x:c r="D110" s="26" t="str">
        <x:v>Persistent Identification; Population Discovery</x:v>
      </x:c>
      <x:c r="E110" s="26" t="str">
        <x:v>Audited</x:v>
      </x:c>
      <x:c r="F110" s="26" t="str">
        <x:v>Active identities used for population-state evaluation</x:v>
      </x:c>
    </x:row>
    <x:row r="111">
      <x:c r="A111" s="26" t="str">
        <x:v>FIG. 4</x:v>
      </x:c>
      <x:c r="B111" s="26" t="n">
        <x:v>450</x:v>
      </x:c>
      <x:c r="C111" s="26" t="str">
        <x:v>Candidate / unknown set</x:v>
      </x:c>
      <x:c r="D111" s="26" t="str">
        <x:v>Persistent Identification; Population Discovery</x:v>
      </x:c>
      <x:c r="E111" s="26" t="str">
        <x:v>Audited</x:v>
      </x:c>
      <x:c r="F111" s="26" t="str">
        <x:v>Unresolved/new identities</x:v>
      </x:c>
    </x:row>
    <x:row r="112">
      <x:c r="A112" s="26" t="str">
        <x:v>FIG. 4</x:v>
      </x:c>
      <x:c r="B112" s="26" t="n">
        <x:v>460</x:v>
      </x:c>
      <x:c r="C112" s="26" t="str">
        <x:v>Inactive / removed set</x:v>
      </x:c>
      <x:c r="D112" s="26" t="str">
        <x:v>Persistent Identification; Population Discovery</x:v>
      </x:c>
      <x:c r="E112" s="26" t="str">
        <x:v>Audited</x:v>
      </x:c>
      <x:c r="F112" s="26" t="str">
        <x:v>Excluded/removed identities</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38" hidden="0" customWidth="1"/>
    <x:col min="3" max="3" width="24" hidden="0" customWidth="1"/>
    <x:col min="4" max="4" width="22" hidden="0" customWidth="1"/>
    <x:col min="5" max="5" width="46" hidden="0" customWidth="1"/>
    <x:col min="6" max="6" width="40" hidden="0" customWidth="1"/>
    <x:col min="7" max="7" width="22" hidden="0" customWidth="1"/>
    <x:col min="8" max="8" width="30" hidden="0" customWidth="1"/>
    <x:col min="9" max="9" width="14" hidden="0" customWidth="1"/>
  </x:cols>
  <x:sheetData>
    <x:row r="1">
      <x:c r="A1" s="57" t="str">
        <x:v>Independent claim</x:v>
      </x:c>
      <x:c r="B1" s="57" t="str">
        <x:v>Family</x:v>
      </x:c>
      <x:c r="C1" s="57" t="str">
        <x:v>Current §112(a) support</x:v>
      </x:c>
      <x:c r="D1" s="57" t="str">
        <x:v>Figure support</x:v>
      </x:c>
      <x:c r="E1" s="57" t="str">
        <x:v>Principal gap</x:v>
      </x:c>
      <x:c r="F1" s="57" t="str">
        <x:v>Patentability posture</x:v>
      </x:c>
      <x:c r="G1" s="57" t="str">
        <x:v>Inventor confirmation</x:v>
      </x:c>
      <x:c r="H1" s="57" t="str">
        <x:v>Filing status</x:v>
      </x:c>
      <x:c r="I1" s="57" t="str">
        <x:v>Last updated</x:v>
      </x:c>
    </x:row>
    <x:row r="2">
      <x:c r="A2" s="26" t="n">
        <x:v>1</x:v>
      </x:c>
      <x:c r="B2" s="26" t="str">
        <x:v>General feral-pig recognition-gated population control</x:v>
      </x:c>
      <x:c r="C2" s="26" t="str">
        <x:v>Strong/partial</x:v>
      </x:c>
      <x:c r="D2" s="26" t="str">
        <x:v>FIGS. 1,2,8,10</x:v>
      </x:c>
      <x:c r="E2" s="26" t="str">
        <x:v>Broad population-control-treatment genus still depends on treatment branches</x:v>
      </x:c>
      <x:c r="F2" s="26" t="str">
        <x:v>Crowded recognition-trigger prior art</x:v>
      </x:c>
      <x:c r="G2" s="26" t="str">
        <x:v>Required for treatment breadth</x:v>
      </x:c>
      <x:c r="H2" s="26" t="str">
        <x:v>Support probe - usable with branch caveats</x:v>
      </x:c>
      <x:c r="I2" s="28" t="n">
        <x:v>46268</x:v>
      </x:c>
    </x:row>
    <x:row r="3">
      <x:c r="A3" s="26" t="n">
        <x:v>11</x:v>
      </x:c>
      <x:c r="B3" s="26" t="str">
        <x:v>Local-population learning / completeness</x:v>
      </x:c>
      <x:c r="C3" s="26" t="str">
        <x:v>Strengthened but confirmation-gated</x:v>
      </x:c>
      <x:c r="D3" s="26" t="str">
        <x:v>FIGS. 4-8,11</x:v>
      </x:c>
      <x:c r="E3" s="26" t="str">
        <x:v>Identity evidence, discovery stabilization, active/inactive rules and exact completeness operation</x:v>
      </x:c>
      <x:c r="F3" s="26" t="str">
        <x:v>Potential distinguishing core; formal search required</x:v>
      </x:c>
      <x:c r="G3" s="26" t="str">
        <x:v>Critical</x:v>
      </x:c>
      <x:c r="H3" s="26" t="str">
        <x:v>Blocking until inventor confirms algorithm</x:v>
      </x:c>
      <x:c r="I3" s="28" t="n">
        <x:v>46268</x:v>
      </x:c>
    </x:row>
    <x:row r="4">
      <x:c r="A4" s="26" t="n">
        <x:v>21</x:v>
      </x:c>
      <x:c r="B4" s="26" t="str">
        <x:v>General toxicant selective exposure</x:v>
      </x:c>
      <x:c r="C4" s="26" t="str">
        <x:v>Strong representative support</x:v>
      </x:c>
      <x:c r="D4" s="26" t="str">
        <x:v>FIGS. 8-10</x:v>
      </x:c>
      <x:c r="E4" s="26" t="str">
        <x:v>Current legal deployment differs by product/jurisdiction</x:v>
      </x:c>
      <x:c r="F4" s="26" t="str">
        <x:v>Species-selective feeder/toxicant art crowded</x:v>
      </x:c>
      <x:c r="G4" s="26" t="str">
        <x:v>Normal</x:v>
      </x:c>
      <x:c r="H4" s="26" t="str">
        <x:v>Support probe - regulatory caveat</x:v>
      </x:c>
      <x:c r="I4" s="28" t="n">
        <x:v>46268</x:v>
      </x:c>
    </x:row>
    <x:row r="5">
      <x:c r="A5" s="26" t="n">
        <x:v>31</x:v>
      </x:c>
      <x:c r="B5" s="26" t="str">
        <x:v>Species-selective toxicant</x:v>
      </x:c>
      <x:c r="C5" s="26" t="str">
        <x:v>Gap/partial</x:v>
      </x:c>
      <x:c r="D5" s="26" t="str">
        <x:v>FIG. 10</x:v>
      </x:c>
      <x:c r="E5" s="26" t="str">
        <x:v>Concrete inventor-conceived species or adequately identified selectivity basis</x:v>
      </x:c>
      <x:c r="F5" s="26" t="str">
        <x:v>High §112/prior-art risk</x:v>
      </x:c>
      <x:c r="G5" s="26" t="str">
        <x:v>Critical</x:v>
      </x:c>
      <x:c r="H5" s="26" t="str">
        <x:v>Blocking for broad reliance</x:v>
      </x:c>
      <x:c r="I5" s="28" t="n">
        <x:v>46268</x:v>
      </x:c>
    </x:row>
    <x:row r="6">
      <x:c r="A6" s="26" t="n">
        <x:v>41</x:v>
      </x:c>
      <x:c r="B6" s="26" t="str">
        <x:v>Reproductive control</x:v>
      </x:c>
      <x:c r="C6" s="26" t="str">
        <x:v>Strengthened/partial</x:v>
      </x:c>
      <x:c r="D6" s="26" t="str">
        <x:v>FIGS. 4,9,10,11</x:v>
      </x:c>
      <x:c r="E6" s="26" t="str">
        <x:v>Actually contemplated agent and delivery route; oral branch particularly confirmation-gated</x:v>
      </x:c>
      <x:c r="F6" s="26" t="str">
        <x:v>Prior reproductive-control technology exists</x:v>
      </x:c>
      <x:c r="G6" s="26" t="str">
        <x:v>Critical</x:v>
      </x:c>
      <x:c r="H6" s="26" t="str">
        <x:v>Support probe - confirm concrete route</x:v>
      </x:c>
      <x:c r="I6" s="28" t="n">
        <x:v>46268</x:v>
      </x:c>
    </x:row>
    <x:row r="7">
      <x:c r="A7" s="26" t="n">
        <x:v>51</x:v>
      </x:c>
      <x:c r="B7" s="26" t="str">
        <x:v>Genetic-modification control</x:v>
      </x:c>
      <x:c r="C7" s="26" t="str">
        <x:v>High-risk gap</x:v>
      </x:c>
      <x:c r="D7" s="26" t="str">
        <x:v>FIG. 10</x:v>
      </x:c>
      <x:c r="E7" s="26" t="str">
        <x:v>Concrete inventor-conceived genetic mechanism, effect, delivery and enabling implementation</x:v>
      </x:c>
      <x:c r="F7" s="26" t="str">
        <x:v>Genetic biocontrol prior art + unpredictable art §112 risk</x:v>
      </x:c>
      <x:c r="G7" s="26" t="str">
        <x:v>Critical</x:v>
      </x:c>
      <x:c r="H7" s="26" t="str">
        <x:v>Blocking for broad reliance</x:v>
      </x:c>
      <x:c r="I7" s="28" t="n">
        <x:v>46268</x:v>
      </x:c>
    </x:row>
    <x:row r="8">
      <x:c r="A8" s="26" t="n">
        <x:v>61</x:v>
      </x:c>
      <x:c r="B8" s="26" t="str">
        <x:v>Feed-mediated population control</x:v>
      </x:c>
      <x:c r="C8" s="26" t="str">
        <x:v>Strong/partial</x:v>
      </x:c>
      <x:c r="D8" s="26" t="str">
        <x:v>FIGS. 9,10</x:v>
      </x:c>
      <x:c r="E8" s="26" t="str">
        <x:v>Distinguish conditioning/feed carrier from direct population-control effect</x:v>
      </x:c>
      <x:c r="F8" s="26" t="str">
        <x:v>Feeders/baiting are crowded</x:v>
      </x:c>
      <x:c r="G8" s="26" t="str">
        <x:v>Normal</x:v>
      </x:c>
      <x:c r="H8" s="26" t="str">
        <x:v>Support probe</x:v>
      </x:c>
      <x:c r="I8" s="28" t="n">
        <x:v>46268</x:v>
      </x:c>
    </x:row>
    <x:row r="9">
      <x:c r="A9" s="26" t="n">
        <x:v>71</x:v>
      </x:c>
      <x:c r="B9" s="26" t="str">
        <x:v>Physical system</x:v>
      </x:c>
      <x:c r="C9" s="26" t="str">
        <x:v>Strong</x:v>
      </x:c>
      <x:c r="D9" s="26" t="str">
        <x:v>FIGS. 1,9-11</x:v>
      </x:c>
      <x:c r="E9" s="26" t="str">
        <x:v>Final structural detail and drawing consistency</x:v>
      </x:c>
      <x:c r="F9" s="26" t="str">
        <x:v>System combinations require prior-art charting</x:v>
      </x:c>
      <x:c r="G9" s="26" t="str">
        <x:v>Normal</x:v>
      </x:c>
      <x:c r="H9" s="26" t="str">
        <x:v>Support probe</x:v>
      </x:c>
      <x:c r="I9" s="28" t="n">
        <x:v>46268</x:v>
      </x:c>
    </x:row>
    <x:row r="10">
      <x:c r="A10" s="26" t="n">
        <x:v>81</x:v>
      </x:c>
      <x:c r="B10" s="26" t="str">
        <x:v>AI training / configuration</x:v>
      </x:c>
      <x:c r="C10" s="26" t="str">
        <x:v>Strong/partial</x:v>
      </x:c>
      <x:c r="D10" s="26" t="str">
        <x:v>FIGS. 2,3,11</x:v>
      </x:c>
      <x:c r="E10" s="26" t="str">
        <x:v>Inventor confirmation of local-only versus adaptation pathways</x:v>
      </x:c>
      <x:c r="F10" s="26" t="str">
        <x:v>ML recognition is crowded</x:v>
      </x:c>
      <x:c r="G10" s="26" t="str">
        <x:v>Required</x:v>
      </x:c>
      <x:c r="H10" s="26" t="str">
        <x:v>Support probe</x:v>
      </x:c>
      <x:c r="I10" s="28" t="n">
        <x:v>46268</x:v>
      </x:c>
    </x:row>
    <x:row r="11">
      <x:c r="A11" s="26" t="n">
        <x:v>91</x:v>
      </x:c>
      <x:c r="B11" s="26" t="str">
        <x:v>Computer-readable control logic</x:v>
      </x:c>
      <x:c r="C11" s="26" t="str">
        <x:v>Strong/partial</x:v>
      </x:c>
      <x:c r="D11" s="26" t="str">
        <x:v>FIGS. 1-3,7,8,11</x:v>
      </x:c>
      <x:c r="E11" s="26" t="str">
        <x:v>Algorithm boundaries and §112(f)/functional-language audit</x:v>
      </x:c>
      <x:c r="F11" s="26" t="str">
        <x:v>Software eligibility/obviousness strategy later</x:v>
      </x:c>
      <x:c r="G11" s="26" t="str">
        <x:v>Required</x:v>
      </x:c>
      <x:c r="H11" s="26" t="str">
        <x:v>Support probe</x:v>
      </x:c>
      <x:c r="I11" s="28" t="n">
        <x:v>46268</x:v>
      </x:c>
    </x:row>
    <x:row r="12">
      <x:c r="A12" s="26" t="n">
        <x:v>101</x:v>
      </x:c>
      <x:c r="B12" s="26" t="str">
        <x:v>Predetermined/specified toxicant</x:v>
      </x:c>
      <x:c r="C12" s="26" t="str">
        <x:v>Strong representative support</x:v>
      </x:c>
      <x:c r="D12" s="26" t="str">
        <x:v>FIGS. 9,10</x:v>
      </x:c>
      <x:c r="E12" s="26" t="str">
        <x:v>Product-specific deployment and label status</x:v>
      </x:c>
      <x:c r="F12" s="26" t="str">
        <x:v>Warfarin/sodium-nitrite art crowded</x:v>
      </x:c>
      <x:c r="G12" s="26" t="str">
        <x:v>Normal</x:v>
      </x:c>
      <x:c r="H12" s="26" t="str">
        <x:v>Support probe</x:v>
      </x:c>
      <x:c r="I12" s="28" t="n">
        <x:v>46268</x:v>
      </x:c>
    </x:row>
    <x:row r="13">
      <x:c r="A13" s="26" t="n">
        <x:v>111</x:v>
      </x:c>
      <x:c r="B13" s="26" t="str">
        <x:v>Generic target-animal population control</x:v>
      </x:c>
      <x:c r="C13" s="26" t="str">
        <x:v>Strengthened but broad</x:v>
      </x:c>
      <x:c r="D13" s="26" t="str">
        <x:v>FIG. 12</x:v>
      </x:c>
      <x:c r="E13" s="26" t="str">
        <x:v>Representative-species/full-scope enablement across disparate animal classes</x:v>
      </x:c>
      <x:c r="F13" s="26" t="str">
        <x:v>Restriction/genus/prior-art risk</x:v>
      </x:c>
      <x:c r="G13" s="26" t="str">
        <x:v>Critical</x:v>
      </x:c>
      <x:c r="H13" s="26" t="str">
        <x:v>Blocking for widest genus until confirmed</x:v>
      </x:c>
      <x:c r="I13" s="28" t="n">
        <x:v>46268</x:v>
      </x:c>
    </x:row>
    <x:row r="14">
      <x:c r="A14" s="26" t="n">
        <x:v>121</x:v>
      </x:c>
      <x:c r="B14" s="26" t="str">
        <x:v>Attraction / conditioning / trough</x:v>
      </x:c>
      <x:c r="C14" s="26" t="str">
        <x:v>Strong representative support</x:v>
      </x:c>
      <x:c r="D14" s="26" t="str">
        <x:v>FIGS. 6,9,10</x:v>
      </x:c>
      <x:c r="E14" s="26" t="str">
        <x:v>Specific attraction methods and non-target effects vary by site</x:v>
      </x:c>
      <x:c r="F14" s="26" t="str">
        <x:v>Prebaiting/trough art crowded</x:v>
      </x:c>
      <x:c r="G14" s="26" t="str">
        <x:v>Normal</x:v>
      </x:c>
      <x:c r="H14" s="26" t="str">
        <x:v>Support probe</x:v>
      </x:c>
      <x:c r="I14" s="28" t="n">
        <x:v>46268</x:v>
      </x:c>
    </x:row>
    <x:row r="15">
      <x:c r="A15" s="26" t="n">
        <x:v>131</x:v>
      </x:c>
      <x:c r="B15" s="26" t="str">
        <x:v>KAPUT / warfarin named-product</x:v>
      </x:c>
      <x:c r="C15" s="26" t="str">
        <x:v>Strong technical identification</x:v>
      </x:c>
      <x:c r="D15" s="26" t="str">
        <x:v>FIGS. 9,10</x:v>
      </x:c>
      <x:c r="E15" s="26" t="str">
        <x:v>Current product label/status must be reverified at deployment</x:v>
      </x:c>
      <x:c r="F15" s="26" t="str">
        <x:v>Narrow product/prior-art scope</x:v>
      </x:c>
      <x:c r="G15" s="26" t="str">
        <x:v>Normal</x:v>
      </x:c>
      <x:c r="H15" s="26" t="str">
        <x:v>Support probe - narrow fallback</x:v>
      </x:c>
      <x:c r="I15" s="28" t="n">
        <x:v>46268</x:v>
      </x:c>
    </x:row>
    <x:row r="16">
      <x:c r="A16" s="26" t="n">
        <x:v>136</x:v>
      </x:c>
      <x:c r="B16" s="26" t="str">
        <x:v>Versioned longitudinal local-population completeness authorization</x:v>
      </x:c>
      <x:c r="C16" s="26" t="str">
        <x:v>Substantially strengthened / inventor-confirmation gated</x:v>
      </x:c>
      <x:c r="D16" s="26" t="str">
        <x:v>FIGS. 4-8,11</x:v>
      </x:c>
      <x:c r="E16" s="26" t="str">
        <x:v>Inventor confirmation of session/coverage, association, stabilization, membership-transition, authorization-version and revalidation rules</x:v>
      </x:c>
      <x:c r="F16" s="26" t="str">
        <x:v>Designed around distinctions not apparent in generic species-trigger, feeder, sounder-trap, or individual-ID references; formal anticipation/obviousness chart still required</x:v>
      </x:c>
      <x:c r="G16" s="26" t="str">
        <x:v>Critical</x:v>
      </x:c>
      <x:c r="H16" s="26" t="str">
        <x:v>Support probe - do not rely on early priority until inventor confirms the drafted formalizations</x:v>
      </x:c>
      <x:c r="I16" s="28" t="n">
        <x:v>46268</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20" hidden="0" customWidth="1"/>
    <x:col min="5" max="5" width="18" hidden="0" customWidth="1"/>
    <x:col min="6" max="6" width="20" hidden="0" customWidth="1"/>
    <x:col min="7" max="7" width="14" hidden="0" customWidth="1"/>
    <x:col min="8" max="8" width="42" hidden="0" customWidth="1"/>
  </x:cols>
  <x:sheetData>
    <x:row r="1">
      <x:c r="A1" s="62" t="str">
        <x:v>Figure</x:v>
      </x:c>
      <x:c r="B1" s="62" t="str">
        <x:v>Reference numeral</x:v>
      </x:c>
      <x:c r="C1" s="62" t="str">
        <x:v>Element</x:v>
      </x:c>
      <x:c r="D1" s="62" t="str">
        <x:v>Shown in drawing v0.2</x:v>
      </x:c>
      <x:c r="E1" s="62" t="str">
        <x:v>In numeral tracker</x:v>
      </x:c>
      <x:c r="F1" s="62" t="str">
        <x:v>Explicitly in spec v0.4</x:v>
      </x:c>
      <x:c r="G1" s="62" t="str">
        <x:v>Audit status</x:v>
      </x:c>
      <x:c r="H1" s="62" t="str">
        <x:v>Action / note</x:v>
      </x:c>
    </x:row>
    <x:row r="2">
      <x:c r="A2" s="26" t="str">
        <x:v>FIG. 1</x:v>
      </x:c>
      <x:c r="B2" s="26" t="n">
        <x:v>100</x:v>
      </x:c>
      <x:c r="C2" s="26" t="str">
        <x:v>Overall recognition-gated population-control system</x:v>
      </x:c>
      <x:c r="D2" s="26" t="str">
        <x:v>Yes</x:v>
      </x:c>
      <x:c r="E2" s="26" t="str">
        <x:v>Yes</x:v>
      </x:c>
      <x:c r="F2" s="26" t="str">
        <x:v>Yes</x:v>
      </x:c>
      <x:c r="G2" s="26" t="str">
        <x:v>PASS</x:v>
      </x:c>
      <x:c r="H2" s="26" t="str">
        <x:v>Drawing/spec/tracker aligned in v0.2/v0.4</x:v>
      </x:c>
    </x:row>
    <x:row r="3">
      <x:c r="A3" s="26" t="str">
        <x:v>FIG. 1</x:v>
      </x:c>
      <x:c r="B3" s="26" t="n">
        <x:v>110</x:v>
      </x:c>
      <x:c r="C3" s="26" t="str">
        <x:v>Sensor subsystem</x:v>
      </x:c>
      <x:c r="D3" s="26" t="str">
        <x:v>Yes</x:v>
      </x:c>
      <x:c r="E3" s="26" t="str">
        <x:v>Yes</x:v>
      </x:c>
      <x:c r="F3" s="26" t="str">
        <x:v>Yes</x:v>
      </x:c>
      <x:c r="G3" s="26" t="str">
        <x:v>PASS</x:v>
      </x:c>
      <x:c r="H3" s="26" t="str">
        <x:v>Drawing/spec/tracker aligned in v0.2/v0.4</x:v>
      </x:c>
    </x:row>
    <x:row r="4">
      <x:c r="A4" s="26" t="str">
        <x:v>FIG. 1</x:v>
      </x:c>
      <x:c r="B4" s="26" t="n">
        <x:v>120</x:v>
      </x:c>
      <x:c r="C4" s="26" t="str">
        <x:v>Processing subsystem</x:v>
      </x:c>
      <x:c r="D4" s="26" t="str">
        <x:v>Yes</x:v>
      </x:c>
      <x:c r="E4" s="26" t="str">
        <x:v>Yes</x:v>
      </x:c>
      <x:c r="F4" s="26" t="str">
        <x:v>Yes</x:v>
      </x:c>
      <x:c r="G4" s="26" t="str">
        <x:v>PASS</x:v>
      </x:c>
      <x:c r="H4" s="26" t="str">
        <x:v>Drawing/spec/tracker aligned in v0.2/v0.4</x:v>
      </x:c>
    </x:row>
    <x:row r="5">
      <x:c r="A5" s="26" t="str">
        <x:v>FIG. 1</x:v>
      </x:c>
      <x:c r="B5" s="26" t="n">
        <x:v>130</x:v>
      </x:c>
      <x:c r="C5" s="26" t="str">
        <x:v>Model / configuration store</x:v>
      </x:c>
      <x:c r="D5" s="26" t="str">
        <x:v>Yes</x:v>
      </x:c>
      <x:c r="E5" s="26" t="str">
        <x:v>Yes</x:v>
      </x:c>
      <x:c r="F5" s="26" t="str">
        <x:v>Yes</x:v>
      </x:c>
      <x:c r="G5" s="26" t="str">
        <x:v>PASS</x:v>
      </x:c>
      <x:c r="H5" s="26" t="str">
        <x:v>Drawing/spec/tracker aligned in v0.2/v0.4</x:v>
      </x:c>
    </x:row>
    <x:row r="6">
      <x:c r="A6" s="26" t="str">
        <x:v>FIG. 1</x:v>
      </x:c>
      <x:c r="B6" s="26" t="n">
        <x:v>140</x:v>
      </x:c>
      <x:c r="C6" s="26" t="str">
        <x:v>Population registry</x:v>
      </x:c>
      <x:c r="D6" s="26" t="str">
        <x:v>Yes</x:v>
      </x:c>
      <x:c r="E6" s="26" t="str">
        <x:v>Yes</x:v>
      </x:c>
      <x:c r="F6" s="26" t="str">
        <x:v>Yes</x:v>
      </x:c>
      <x:c r="G6" s="26" t="str">
        <x:v>PASS</x:v>
      </x:c>
      <x:c r="H6" s="26" t="str">
        <x:v>Drawing/spec/tracker aligned in v0.2/v0.4</x:v>
      </x:c>
    </x:row>
    <x:row r="7">
      <x:c r="A7" s="26" t="str">
        <x:v>FIG. 1</x:v>
      </x:c>
      <x:c r="B7" s="26" t="n">
        <x:v>150</x:v>
      </x:c>
      <x:c r="C7" s="26" t="str">
        <x:v>Decision engine</x:v>
      </x:c>
      <x:c r="D7" s="26" t="str">
        <x:v>Yes</x:v>
      </x:c>
      <x:c r="E7" s="26" t="str">
        <x:v>Yes</x:v>
      </x:c>
      <x:c r="F7" s="26" t="str">
        <x:v>Yes</x:v>
      </x:c>
      <x:c r="G7" s="26" t="str">
        <x:v>PASS</x:v>
      </x:c>
      <x:c r="H7" s="26" t="str">
        <x:v>Drawing/spec/tracker aligned in v0.2/v0.4</x:v>
      </x:c>
    </x:row>
    <x:row r="8">
      <x:c r="A8" s="26" t="str">
        <x:v>FIG. 1</x:v>
      </x:c>
      <x:c r="B8" s="26" t="n">
        <x:v>160</x:v>
      </x:c>
      <x:c r="C8" s="26" t="str">
        <x:v>Treatment controller</x:v>
      </x:c>
      <x:c r="D8" s="26" t="str">
        <x:v>Yes</x:v>
      </x:c>
      <x:c r="E8" s="26" t="str">
        <x:v>Yes</x:v>
      </x:c>
      <x:c r="F8" s="26" t="str">
        <x:v>Yes</x:v>
      </x:c>
      <x:c r="G8" s="26" t="str">
        <x:v>PASS</x:v>
      </x:c>
      <x:c r="H8" s="26" t="str">
        <x:v>Drawing/spec/tracker aligned in v0.2/v0.4</x:v>
      </x:c>
    </x:row>
    <x:row r="9">
      <x:c r="A9" s="26" t="str">
        <x:v>FIG. 1</x:v>
      </x:c>
      <x:c r="B9" s="26" t="n">
        <x:v>170</x:v>
      </x:c>
      <x:c r="C9" s="26" t="str">
        <x:v>Population-control delivery assembly</x:v>
      </x:c>
      <x:c r="D9" s="26" t="str">
        <x:v>Yes</x:v>
      </x:c>
      <x:c r="E9" s="26" t="str">
        <x:v>Yes</x:v>
      </x:c>
      <x:c r="F9" s="26" t="str">
        <x:v>Yes</x:v>
      </x:c>
      <x:c r="G9" s="26" t="str">
        <x:v>PASS</x:v>
      </x:c>
      <x:c r="H9" s="26" t="str">
        <x:v>Drawing/spec/tracker aligned in v0.2/v0.4</x:v>
      </x:c>
    </x:row>
    <x:row r="10">
      <x:c r="A10" s="26" t="str">
        <x:v>FIG. 1</x:v>
      </x:c>
      <x:c r="B10" s="26" t="n">
        <x:v>180</x:v>
      </x:c>
      <x:c r="C10" s="26" t="str">
        <x:v>Operator interface</x:v>
      </x:c>
      <x:c r="D10" s="26" t="str">
        <x:v>Yes</x:v>
      </x:c>
      <x:c r="E10" s="26" t="str">
        <x:v>Yes</x:v>
      </x:c>
      <x:c r="F10" s="26" t="str">
        <x:v>Yes</x:v>
      </x:c>
      <x:c r="G10" s="26" t="str">
        <x:v>PASS</x:v>
      </x:c>
      <x:c r="H10" s="26" t="str">
        <x:v>Drawing/spec/tracker aligned in v0.2/v0.4</x:v>
      </x:c>
    </x:row>
    <x:row r="11">
      <x:c r="A11" s="26" t="str">
        <x:v>FIG. 1</x:v>
      </x:c>
      <x:c r="B11" s="26" t="n">
        <x:v>190</x:v>
      </x:c>
      <x:c r="C11" s="26" t="str">
        <x:v>Event log</x:v>
      </x:c>
      <x:c r="D11" s="26" t="str">
        <x:v>Yes</x:v>
      </x:c>
      <x:c r="E11" s="26" t="str">
        <x:v>Yes</x:v>
      </x:c>
      <x:c r="F11" s="26" t="str">
        <x:v>Yes</x:v>
      </x:c>
      <x:c r="G11" s="26" t="str">
        <x:v>PASS</x:v>
      </x:c>
      <x:c r="H11" s="26" t="str">
        <x:v>Drawing/spec/tracker aligned in v0.2/v0.4</x:v>
      </x:c>
    </x:row>
    <x:row r="12">
      <x:c r="A12" s="26" t="str">
        <x:v>FIG. 2</x:v>
      </x:c>
      <x:c r="B12" s="26" t="n">
        <x:v>210</x:v>
      </x:c>
      <x:c r="C12" s="26" t="str">
        <x:v>Sensor-data acquisition</x:v>
      </x:c>
      <x:c r="D12" s="26" t="str">
        <x:v>Yes</x:v>
      </x:c>
      <x:c r="E12" s="26" t="str">
        <x:v>Yes</x:v>
      </x:c>
      <x:c r="F12" s="26" t="str">
        <x:v>Yes</x:v>
      </x:c>
      <x:c r="G12" s="26" t="str">
        <x:v>PASS</x:v>
      </x:c>
      <x:c r="H12" s="26" t="str">
        <x:v>Drawing/spec/tracker aligned in v0.2/v0.4</x:v>
      </x:c>
    </x:row>
    <x:row r="13">
      <x:c r="A13" s="26" t="str">
        <x:v>FIG. 2</x:v>
      </x:c>
      <x:c r="B13" s="26" t="n">
        <x:v>220</x:v>
      </x:c>
      <x:c r="C13" s="26" t="str">
        <x:v>Preprocessing</x:v>
      </x:c>
      <x:c r="D13" s="26" t="str">
        <x:v>Yes</x:v>
      </x:c>
      <x:c r="E13" s="26" t="str">
        <x:v>Yes</x:v>
      </x:c>
      <x:c r="F13" s="26" t="str">
        <x:v>Yes</x:v>
      </x:c>
      <x:c r="G13" s="26" t="str">
        <x:v>PASS</x:v>
      </x:c>
      <x:c r="H13" s="26" t="str">
        <x:v>Drawing/spec/tracker aligned in v0.2/v0.4</x:v>
      </x:c>
    </x:row>
    <x:row r="14">
      <x:c r="A14" s="26" t="str">
        <x:v>FIG. 2</x:v>
      </x:c>
      <x:c r="B14" s="26" t="n">
        <x:v>230</x:v>
      </x:c>
      <x:c r="C14" s="26" t="str">
        <x:v>Detection / tracking</x:v>
      </x:c>
      <x:c r="D14" s="26" t="str">
        <x:v>Yes</x:v>
      </x:c>
      <x:c r="E14" s="26" t="str">
        <x:v>Yes</x:v>
      </x:c>
      <x:c r="F14" s="26" t="str">
        <x:v>Yes</x:v>
      </x:c>
      <x:c r="G14" s="26" t="str">
        <x:v>PASS</x:v>
      </x:c>
      <x:c r="H14" s="26" t="str">
        <x:v>Drawing/spec/tracker aligned in v0.2/v0.4</x:v>
      </x:c>
    </x:row>
    <x:row r="15">
      <x:c r="A15" s="26" t="str">
        <x:v>FIG. 2</x:v>
      </x:c>
      <x:c r="B15" s="26" t="n">
        <x:v>240</x:v>
      </x:c>
      <x:c r="C15" s="26" t="str">
        <x:v>Target / non-target classification</x:v>
      </x:c>
      <x:c r="D15" s="26" t="str">
        <x:v>Yes</x:v>
      </x:c>
      <x:c r="E15" s="26" t="str">
        <x:v>Yes</x:v>
      </x:c>
      <x:c r="F15" s="26" t="str">
        <x:v>Yes</x:v>
      </x:c>
      <x:c r="G15" s="26" t="str">
        <x:v>PASS</x:v>
      </x:c>
      <x:c r="H15" s="26" t="str">
        <x:v>Drawing/spec/tracker aligned in v0.2/v0.4</x:v>
      </x:c>
    </x:row>
    <x:row r="16">
      <x:c r="A16" s="26" t="str">
        <x:v>FIG. 2</x:v>
      </x:c>
      <x:c r="B16" s="26" t="n">
        <x:v>250</x:v>
      </x:c>
      <x:c r="C16" s="26" t="str">
        <x:v>Identity / re-identification</x:v>
      </x:c>
      <x:c r="D16" s="26" t="str">
        <x:v>Yes</x:v>
      </x:c>
      <x:c r="E16" s="26" t="str">
        <x:v>Yes</x:v>
      </x:c>
      <x:c r="F16" s="26" t="str">
        <x:v>Yes</x:v>
      </x:c>
      <x:c r="G16" s="26" t="str">
        <x:v>PASS</x:v>
      </x:c>
      <x:c r="H16" s="26" t="str">
        <x:v>Drawing/spec/tracker aligned in v0.2/v0.4</x:v>
      </x:c>
    </x:row>
    <x:row r="17">
      <x:c r="A17" s="26" t="str">
        <x:v>FIG. 2</x:v>
      </x:c>
      <x:c r="B17" s="26" t="n">
        <x:v>260</x:v>
      </x:c>
      <x:c r="C17" s="26" t="str">
        <x:v>Evidence fusion</x:v>
      </x:c>
      <x:c r="D17" s="26" t="str">
        <x:v>Yes</x:v>
      </x:c>
      <x:c r="E17" s="26" t="str">
        <x:v>Yes</x:v>
      </x:c>
      <x:c r="F17" s="26" t="str">
        <x:v>Yes</x:v>
      </x:c>
      <x:c r="G17" s="26" t="str">
        <x:v>PASS</x:v>
      </x:c>
      <x:c r="H17" s="26" t="str">
        <x:v>Drawing/spec/tracker aligned in v0.2/v0.4</x:v>
      </x:c>
    </x:row>
    <x:row r="18">
      <x:c r="A18" s="26" t="str">
        <x:v>FIG. 2</x:v>
      </x:c>
      <x:c r="B18" s="26" t="n">
        <x:v>270</x:v>
      </x:c>
      <x:c r="C18" s="26" t="str">
        <x:v>Confidence / unknown-state processing</x:v>
      </x:c>
      <x:c r="D18" s="26" t="str">
        <x:v>Yes</x:v>
      </x:c>
      <x:c r="E18" s="26" t="str">
        <x:v>Yes</x:v>
      </x:c>
      <x:c r="F18" s="26" t="str">
        <x:v>Yes</x:v>
      </x:c>
      <x:c r="G18" s="26" t="str">
        <x:v>PASS</x:v>
      </x:c>
      <x:c r="H18" s="26" t="str">
        <x:v>Drawing/spec/tracker aligned in v0.2/v0.4</x:v>
      </x:c>
    </x:row>
    <x:row r="19">
      <x:c r="A19" s="26" t="str">
        <x:v>FIG. 2</x:v>
      </x:c>
      <x:c r="B19" s="26" t="n">
        <x:v>280</x:v>
      </x:c>
      <x:c r="C19" s="26" t="str">
        <x:v>Recognition output</x:v>
      </x:c>
      <x:c r="D19" s="26" t="str">
        <x:v>Yes</x:v>
      </x:c>
      <x:c r="E19" s="26" t="str">
        <x:v>Yes</x:v>
      </x:c>
      <x:c r="F19" s="26" t="str">
        <x:v>Yes</x:v>
      </x:c>
      <x:c r="G19" s="26" t="str">
        <x:v>PASS</x:v>
      </x:c>
      <x:c r="H19" s="26" t="str">
        <x:v>Drawing/spec/tracker aligned in v0.2/v0.4</x:v>
      </x:c>
    </x:row>
    <x:row r="20">
      <x:c r="A20" s="26" t="str">
        <x:v>FIG. 3</x:v>
      </x:c>
      <x:c r="B20" s="26" t="n">
        <x:v>310</x:v>
      </x:c>
      <x:c r="C20" s="26" t="str">
        <x:v>Training corpus</x:v>
      </x:c>
      <x:c r="D20" s="26" t="str">
        <x:v>Yes</x:v>
      </x:c>
      <x:c r="E20" s="26" t="str">
        <x:v>Yes</x:v>
      </x:c>
      <x:c r="F20" s="26" t="str">
        <x:v>Yes</x:v>
      </x:c>
      <x:c r="G20" s="26" t="str">
        <x:v>PASS</x:v>
      </x:c>
      <x:c r="H20" s="26" t="str">
        <x:v>Drawing/spec/tracker aligned in v0.2/v0.4</x:v>
      </x:c>
    </x:row>
    <x:row r="21">
      <x:c r="A21" s="26" t="str">
        <x:v>FIG. 3</x:v>
      </x:c>
      <x:c r="B21" s="26" t="n">
        <x:v>312</x:v>
      </x:c>
      <x:c r="C21" s="26" t="str">
        <x:v>Positive target examples</x:v>
      </x:c>
      <x:c r="D21" s="26" t="str">
        <x:v>Yes</x:v>
      </x:c>
      <x:c r="E21" s="26" t="str">
        <x:v>Yes</x:v>
      </x:c>
      <x:c r="F21" s="26" t="str">
        <x:v>Yes</x:v>
      </x:c>
      <x:c r="G21" s="26" t="str">
        <x:v>PASS</x:v>
      </x:c>
      <x:c r="H21" s="26" t="str">
        <x:v>Drawing/spec/tracker aligned in v0.2/v0.4</x:v>
      </x:c>
    </x:row>
    <x:row r="22">
      <x:c r="A22" s="26" t="str">
        <x:v>FIG. 3</x:v>
      </x:c>
      <x:c r="B22" s="26" t="n">
        <x:v>314</x:v>
      </x:c>
      <x:c r="C22" s="26" t="str">
        <x:v>Negative non-target examples</x:v>
      </x:c>
      <x:c r="D22" s="26" t="str">
        <x:v>Yes</x:v>
      </x:c>
      <x:c r="E22" s="26" t="str">
        <x:v>Yes</x:v>
      </x:c>
      <x:c r="F22" s="26" t="str">
        <x:v>Yes</x:v>
      </x:c>
      <x:c r="G22" s="26" t="str">
        <x:v>PASS</x:v>
      </x:c>
      <x:c r="H22" s="26" t="str">
        <x:v>Drawing/spec/tracker aligned in v0.2/v0.4</x:v>
      </x:c>
    </x:row>
    <x:row r="23">
      <x:c r="A23" s="26" t="str">
        <x:v>FIG. 3</x:v>
      </x:c>
      <x:c r="B23" s="26" t="n">
        <x:v>320</x:v>
      </x:c>
      <x:c r="C23" s="26" t="str">
        <x:v>Pretraining</x:v>
      </x:c>
      <x:c r="D23" s="26" t="str">
        <x:v>Yes</x:v>
      </x:c>
      <x:c r="E23" s="26" t="str">
        <x:v>Yes</x:v>
      </x:c>
      <x:c r="F23" s="26" t="str">
        <x:v>Yes</x:v>
      </x:c>
      <x:c r="G23" s="26" t="str">
        <x:v>PASS</x:v>
      </x:c>
      <x:c r="H23" s="26" t="str">
        <x:v>Drawing/spec/tracker aligned in v0.2/v0.4</x:v>
      </x:c>
    </x:row>
    <x:row r="24">
      <x:c r="A24" s="26" t="str">
        <x:v>FIG. 3</x:v>
      </x:c>
      <x:c r="B24" s="26" t="n">
        <x:v>330</x:v>
      </x:c>
      <x:c r="C24" s="26" t="str">
        <x:v>Local observations</x:v>
      </x:c>
      <x:c r="D24" s="26" t="str">
        <x:v>Yes</x:v>
      </x:c>
      <x:c r="E24" s="26" t="str">
        <x:v>Yes</x:v>
      </x:c>
      <x:c r="F24" s="26" t="str">
        <x:v>Yes</x:v>
      </x:c>
      <x:c r="G24" s="26" t="str">
        <x:v>PASS</x:v>
      </x:c>
      <x:c r="H24" s="26" t="str">
        <x:v>Drawing/spec/tracker aligned in v0.2/v0.4</x:v>
      </x:c>
    </x:row>
    <x:row r="25">
      <x:c r="A25" s="26" t="str">
        <x:v>FIG. 3</x:v>
      </x:c>
      <x:c r="B25" s="26" t="n">
        <x:v>340</x:v>
      </x:c>
      <x:c r="C25" s="26" t="str">
        <x:v>Fine-tuning / calibration</x:v>
      </x:c>
      <x:c r="D25" s="26" t="str">
        <x:v>Yes</x:v>
      </x:c>
      <x:c r="E25" s="26" t="str">
        <x:v>Yes</x:v>
      </x:c>
      <x:c r="F25" s="26" t="str">
        <x:v>Yes</x:v>
      </x:c>
      <x:c r="G25" s="26" t="str">
        <x:v>PASS</x:v>
      </x:c>
      <x:c r="H25" s="26" t="str">
        <x:v>Drawing/spec/tracker aligned in v0.2/v0.4</x:v>
      </x:c>
    </x:row>
    <x:row r="26">
      <x:c r="A26" s="26" t="str">
        <x:v>FIG. 3</x:v>
      </x:c>
      <x:c r="B26" s="26" t="n">
        <x:v>350</x:v>
      </x:c>
      <x:c r="C26" s="26" t="str">
        <x:v>Validation</x:v>
      </x:c>
      <x:c r="D26" s="26" t="str">
        <x:v>Yes</x:v>
      </x:c>
      <x:c r="E26" s="26" t="str">
        <x:v>Yes</x:v>
      </x:c>
      <x:c r="F26" s="26" t="str">
        <x:v>Yes</x:v>
      </x:c>
      <x:c r="G26" s="26" t="str">
        <x:v>PASS</x:v>
      </x:c>
      <x:c r="H26" s="26" t="str">
        <x:v>Drawing/spec/tracker aligned in v0.2/v0.4</x:v>
      </x:c>
    </x:row>
    <x:row r="27">
      <x:c r="A27" s="26" t="str">
        <x:v>FIG. 3</x:v>
      </x:c>
      <x:c r="B27" s="26" t="n">
        <x:v>360</x:v>
      </x:c>
      <x:c r="C27" s="26" t="str">
        <x:v>Deployed model</x:v>
      </x:c>
      <x:c r="D27" s="26" t="str">
        <x:v>Yes</x:v>
      </x:c>
      <x:c r="E27" s="26" t="str">
        <x:v>Yes</x:v>
      </x:c>
      <x:c r="F27" s="26" t="str">
        <x:v>Yes</x:v>
      </x:c>
      <x:c r="G27" s="26" t="str">
        <x:v>PASS</x:v>
      </x:c>
      <x:c r="H27" s="26" t="str">
        <x:v>Drawing/spec/tracker aligned in v0.2/v0.4</x:v>
      </x:c>
    </x:row>
    <x:row r="28">
      <x:c r="A28" s="26" t="str">
        <x:v>FIG. 3</x:v>
      </x:c>
      <x:c r="B28" s="26" t="n">
        <x:v>370</x:v>
      </x:c>
      <x:c r="C28" s="26" t="str">
        <x:v>Rollback model</x:v>
      </x:c>
      <x:c r="D28" s="26" t="str">
        <x:v>Yes</x:v>
      </x:c>
      <x:c r="E28" s="26" t="str">
        <x:v>Yes</x:v>
      </x:c>
      <x:c r="F28" s="26" t="str">
        <x:v>Yes</x:v>
      </x:c>
      <x:c r="G28" s="26" t="str">
        <x:v>PASS</x:v>
      </x:c>
      <x:c r="H28" s="26" t="str">
        <x:v>Drawing/spec/tracker aligned in v0.2/v0.4</x:v>
      </x:c>
    </x:row>
    <x:row r="29">
      <x:c r="A29" s="26" t="str">
        <x:v>FIG. 4</x:v>
      </x:c>
      <x:c r="B29" s="26" t="n">
        <x:v>410</x:v>
      </x:c>
      <x:c r="C29" s="26" t="str">
        <x:v>Population registry</x:v>
      </x:c>
      <x:c r="D29" s="26" t="str">
        <x:v>Yes</x:v>
      </x:c>
      <x:c r="E29" s="26" t="str">
        <x:v>Yes</x:v>
      </x:c>
      <x:c r="F29" s="26" t="str">
        <x:v>Yes</x:v>
      </x:c>
      <x:c r="G29" s="26" t="str">
        <x:v>PASS</x:v>
      </x:c>
      <x:c r="H29" s="26" t="str">
        <x:v>Drawing/spec/tracker aligned in v0.2/v0.4</x:v>
      </x:c>
    </x:row>
    <x:row r="30">
      <x:c r="A30" s="26" t="str">
        <x:v>FIG. 4</x:v>
      </x:c>
      <x:c r="B30" s="26" t="n">
        <x:v>420</x:v>
      </x:c>
      <x:c r="C30" s="26" t="str">
        <x:v>Identity record</x:v>
      </x:c>
      <x:c r="D30" s="26" t="str">
        <x:v>Yes</x:v>
      </x:c>
      <x:c r="E30" s="26" t="str">
        <x:v>Yes</x:v>
      </x:c>
      <x:c r="F30" s="26" t="str">
        <x:v>Yes</x:v>
      </x:c>
      <x:c r="G30" s="26" t="str">
        <x:v>PASS</x:v>
      </x:c>
      <x:c r="H30" s="26" t="str">
        <x:v>Drawing/spec/tracker aligned in v0.2/v0.4</x:v>
      </x:c>
    </x:row>
    <x:row r="31">
      <x:c r="A31" s="26" t="str">
        <x:v>FIG. 4</x:v>
      </x:c>
      <x:c r="B31" s="26" t="n">
        <x:v>422</x:v>
      </x:c>
      <x:c r="C31" s="26" t="str">
        <x:v>Persistent identifier</x:v>
      </x:c>
      <x:c r="D31" s="26" t="str">
        <x:v>Yes</x:v>
      </x:c>
      <x:c r="E31" s="26" t="str">
        <x:v>Yes</x:v>
      </x:c>
      <x:c r="F31" s="26" t="str">
        <x:v>Yes</x:v>
      </x:c>
      <x:c r="G31" s="26" t="str">
        <x:v>PASS</x:v>
      </x:c>
      <x:c r="H31" s="26" t="str">
        <x:v>Drawing/spec/tracker aligned in v0.2/v0.4</x:v>
      </x:c>
    </x:row>
    <x:row r="32">
      <x:c r="A32" s="26" t="str">
        <x:v>FIG. 4</x:v>
      </x:c>
      <x:c r="B32" s="26" t="n">
        <x:v>424</x:v>
      </x:c>
      <x:c r="C32" s="26" t="str">
        <x:v>Visual features</x:v>
      </x:c>
      <x:c r="D32" s="26" t="str">
        <x:v>Yes</x:v>
      </x:c>
      <x:c r="E32" s="26" t="str">
        <x:v>Yes</x:v>
      </x:c>
      <x:c r="F32" s="26" t="str">
        <x:v>Yes</x:v>
      </x:c>
      <x:c r="G32" s="26" t="str">
        <x:v>PASS</x:v>
      </x:c>
      <x:c r="H32" s="26" t="str">
        <x:v>Drawing/spec/tracker aligned in v0.2/v0.4</x:v>
      </x:c>
    </x:row>
    <x:row r="33">
      <x:c r="A33" s="26" t="str">
        <x:v>FIG. 4</x:v>
      </x:c>
      <x:c r="B33" s="26" t="n">
        <x:v>426</x:v>
      </x:c>
      <x:c r="C33" s="26" t="str">
        <x:v>Audio features</x:v>
      </x:c>
      <x:c r="D33" s="26" t="str">
        <x:v>Yes</x:v>
      </x:c>
      <x:c r="E33" s="26" t="str">
        <x:v>Yes</x:v>
      </x:c>
      <x:c r="F33" s="26" t="str">
        <x:v>Yes</x:v>
      </x:c>
      <x:c r="G33" s="26" t="str">
        <x:v>PASS</x:v>
      </x:c>
      <x:c r="H33" s="26" t="str">
        <x:v>Drawing/spec/tracker aligned in v0.2/v0.4</x:v>
      </x:c>
    </x:row>
    <x:row r="34">
      <x:c r="A34" s="26" t="str">
        <x:v>FIG. 4</x:v>
      </x:c>
      <x:c r="B34" s="26" t="n">
        <x:v>428</x:v>
      </x:c>
      <x:c r="C34" s="26" t="str">
        <x:v>Morphology / behavior features</x:v>
      </x:c>
      <x:c r="D34" s="26" t="str">
        <x:v>Yes</x:v>
      </x:c>
      <x:c r="E34" s="26" t="str">
        <x:v>Yes</x:v>
      </x:c>
      <x:c r="F34" s="26" t="str">
        <x:v>Yes</x:v>
      </x:c>
      <x:c r="G34" s="26" t="str">
        <x:v>PASS</x:v>
      </x:c>
      <x:c r="H34" s="26" t="str">
        <x:v>Drawing/spec/tracker aligned in v0.2/v0.4</x:v>
      </x:c>
    </x:row>
    <x:row r="35">
      <x:c r="A35" s="26" t="str">
        <x:v>FIG. 4</x:v>
      </x:c>
      <x:c r="B35" s="26" t="n">
        <x:v>430</x:v>
      </x:c>
      <x:c r="C35" s="26" t="str">
        <x:v>First / last seen information</x:v>
      </x:c>
      <x:c r="D35" s="26" t="str">
        <x:v>Yes</x:v>
      </x:c>
      <x:c r="E35" s="26" t="str">
        <x:v>Yes</x:v>
      </x:c>
      <x:c r="F35" s="26" t="str">
        <x:v>Yes</x:v>
      </x:c>
      <x:c r="G35" s="26" t="str">
        <x:v>PASS</x:v>
      </x:c>
      <x:c r="H35" s="26" t="str">
        <x:v>Drawing/spec/tracker aligned in v0.2/v0.4</x:v>
      </x:c>
    </x:row>
    <x:row r="36">
      <x:c r="A36" s="26" t="str">
        <x:v>FIG. 4</x:v>
      </x:c>
      <x:c r="B36" s="26" t="n">
        <x:v>432</x:v>
      </x:c>
      <x:c r="C36" s="26" t="str">
        <x:v>Group association</x:v>
      </x:c>
      <x:c r="D36" s="26" t="str">
        <x:v>Yes</x:v>
      </x:c>
      <x:c r="E36" s="26" t="str">
        <x:v>Yes</x:v>
      </x:c>
      <x:c r="F36" s="26" t="str">
        <x:v>Yes</x:v>
      </x:c>
      <x:c r="G36" s="26" t="str">
        <x:v>PASS</x:v>
      </x:c>
      <x:c r="H36" s="26" t="str">
        <x:v>Drawing/spec/tracker aligned in v0.2/v0.4</x:v>
      </x:c>
    </x:row>
    <x:row r="37">
      <x:c r="A37" s="26" t="str">
        <x:v>FIG. 4</x:v>
      </x:c>
      <x:c r="B37" s="26" t="n">
        <x:v>434</x:v>
      </x:c>
      <x:c r="C37" s="26" t="str">
        <x:v>Treatment status</x:v>
      </x:c>
      <x:c r="D37" s="26" t="str">
        <x:v>Yes</x:v>
      </x:c>
      <x:c r="E37" s="26" t="str">
        <x:v>Yes</x:v>
      </x:c>
      <x:c r="F37" s="26" t="str">
        <x:v>Yes</x:v>
      </x:c>
      <x:c r="G37" s="26" t="str">
        <x:v>PASS</x:v>
      </x:c>
      <x:c r="H37" s="26" t="str">
        <x:v>Drawing/spec/tracker aligned in v0.2/v0.4</x:v>
      </x:c>
    </x:row>
    <x:row r="38">
      <x:c r="A38" s="26" t="str">
        <x:v>FIG. 4</x:v>
      </x:c>
      <x:c r="B38" s="26" t="n">
        <x:v>436</x:v>
      </x:c>
      <x:c r="C38" s="26" t="str">
        <x:v>Confidence / evidence</x:v>
      </x:c>
      <x:c r="D38" s="26" t="str">
        <x:v>Yes</x:v>
      </x:c>
      <x:c r="E38" s="26" t="str">
        <x:v>Yes</x:v>
      </x:c>
      <x:c r="F38" s="26" t="str">
        <x:v>Yes</x:v>
      </x:c>
      <x:c r="G38" s="26" t="str">
        <x:v>PASS</x:v>
      </x:c>
      <x:c r="H38" s="26" t="str">
        <x:v>Drawing/spec/tracker aligned in v0.2/v0.4</x:v>
      </x:c>
    </x:row>
    <x:row r="39">
      <x:c r="A39" s="26" t="str">
        <x:v>FIG. 5</x:v>
      </x:c>
      <x:c r="B39" s="26" t="n">
        <x:v>510</x:v>
      </x:c>
      <x:c r="C39" s="26" t="str">
        <x:v>Candidate state</x:v>
      </x:c>
      <x:c r="D39" s="26" t="str">
        <x:v>Yes</x:v>
      </x:c>
      <x:c r="E39" s="26" t="str">
        <x:v>Yes</x:v>
      </x:c>
      <x:c r="F39" s="26" t="str">
        <x:v>Yes</x:v>
      </x:c>
      <x:c r="G39" s="26" t="str">
        <x:v>PASS</x:v>
      </x:c>
      <x:c r="H39" s="26" t="str">
        <x:v>Drawing/spec/tracker aligned in v0.2/v0.4</x:v>
      </x:c>
    </x:row>
    <x:row r="40">
      <x:c r="A40" s="26" t="str">
        <x:v>FIG. 5</x:v>
      </x:c>
      <x:c r="B40" s="26" t="n">
        <x:v>520</x:v>
      </x:c>
      <x:c r="C40" s="26" t="str">
        <x:v>Active state</x:v>
      </x:c>
      <x:c r="D40" s="26" t="str">
        <x:v>Yes</x:v>
      </x:c>
      <x:c r="E40" s="26" t="str">
        <x:v>Yes</x:v>
      </x:c>
      <x:c r="F40" s="26" t="str">
        <x:v>Yes</x:v>
      </x:c>
      <x:c r="G40" s="26" t="str">
        <x:v>PASS</x:v>
      </x:c>
      <x:c r="H40" s="26" t="str">
        <x:v>Drawing/spec/tracker aligned in v0.2/v0.4</x:v>
      </x:c>
    </x:row>
    <x:row r="41">
      <x:c r="A41" s="26" t="str">
        <x:v>FIG. 5</x:v>
      </x:c>
      <x:c r="B41" s="26" t="n">
        <x:v>530</x:v>
      </x:c>
      <x:c r="C41" s="26" t="str">
        <x:v>Inactive state</x:v>
      </x:c>
      <x:c r="D41" s="26" t="str">
        <x:v>Yes</x:v>
      </x:c>
      <x:c r="E41" s="26" t="str">
        <x:v>Yes</x:v>
      </x:c>
      <x:c r="F41" s="26" t="str">
        <x:v>Yes</x:v>
      </x:c>
      <x:c r="G41" s="26" t="str">
        <x:v>PASS</x:v>
      </x:c>
      <x:c r="H41" s="26" t="str">
        <x:v>Drawing/spec/tracker aligned in v0.2/v0.4</x:v>
      </x:c>
    </x:row>
    <x:row r="42">
      <x:c r="A42" s="26" t="str">
        <x:v>FIG. 5</x:v>
      </x:c>
      <x:c r="B42" s="26" t="n">
        <x:v>540</x:v>
      </x:c>
      <x:c r="C42" s="26" t="str">
        <x:v>Removed state</x:v>
      </x:c>
      <x:c r="D42" s="26" t="str">
        <x:v>Yes</x:v>
      </x:c>
      <x:c r="E42" s="26" t="str">
        <x:v>Yes</x:v>
      </x:c>
      <x:c r="F42" s="26" t="str">
        <x:v>Yes</x:v>
      </x:c>
      <x:c r="G42" s="26" t="str">
        <x:v>PASS</x:v>
      </x:c>
      <x:c r="H42" s="26" t="str">
        <x:v>Drawing/spec/tracker aligned in v0.2/v0.4</x:v>
      </x:c>
    </x:row>
    <x:row r="43">
      <x:c r="A43" s="26" t="str">
        <x:v>FIG. 5</x:v>
      </x:c>
      <x:c r="B43" s="26" t="n">
        <x:v>550</x:v>
      </x:c>
      <x:c r="C43" s="26" t="str">
        <x:v>Unknown / unresolved state</x:v>
      </x:c>
      <x:c r="D43" s="26" t="str">
        <x:v>Yes</x:v>
      </x:c>
      <x:c r="E43" s="26" t="str">
        <x:v>Yes</x:v>
      </x:c>
      <x:c r="F43" s="26" t="str">
        <x:v>Yes</x:v>
      </x:c>
      <x:c r="G43" s="26" t="str">
        <x:v>PASS</x:v>
      </x:c>
      <x:c r="H43" s="26" t="str">
        <x:v>Drawing/spec/tracker aligned in v0.2/v0.4</x:v>
      </x:c>
    </x:row>
    <x:row r="44">
      <x:c r="A44" s="26" t="str">
        <x:v>FIG. 6</x:v>
      </x:c>
      <x:c r="B44" s="26" t="n">
        <x:v>610</x:v>
      </x:c>
      <x:c r="C44" s="26" t="str">
        <x:v>Discovery mode</x:v>
      </x:c>
      <x:c r="D44" s="26" t="str">
        <x:v>Yes</x:v>
      </x:c>
      <x:c r="E44" s="26" t="str">
        <x:v>Yes</x:v>
      </x:c>
      <x:c r="F44" s="26" t="str">
        <x:v>Yes</x:v>
      </x:c>
      <x:c r="G44" s="26" t="str">
        <x:v>PASS</x:v>
      </x:c>
      <x:c r="H44" s="26" t="str">
        <x:v>Drawing/spec/tracker aligned in v0.2/v0.4</x:v>
      </x:c>
    </x:row>
    <x:row r="45">
      <x:c r="A45" s="26" t="str">
        <x:v>FIG. 6</x:v>
      </x:c>
      <x:c r="B45" s="26" t="n">
        <x:v>620</x:v>
      </x:c>
      <x:c r="C45" s="26" t="str">
        <x:v>New-identity discovery assessment</x:v>
      </x:c>
      <x:c r="D45" s="26" t="str">
        <x:v>Yes</x:v>
      </x:c>
      <x:c r="E45" s="26" t="str">
        <x:v>Yes</x:v>
      </x:c>
      <x:c r="F45" s="26" t="str">
        <x:v>Yes</x:v>
      </x:c>
      <x:c r="G45" s="26" t="str">
        <x:v>PASS</x:v>
      </x:c>
      <x:c r="H45" s="26" t="str">
        <x:v>Drawing/spec/tracker aligned in v0.2/v0.4</x:v>
      </x:c>
    </x:row>
    <x:row r="46">
      <x:c r="A46" s="26" t="str">
        <x:v>FIG. 6</x:v>
      </x:c>
      <x:c r="B46" s="26" t="n">
        <x:v>630</x:v>
      </x:c>
      <x:c r="C46" s="26" t="str">
        <x:v>Re-observation / coverage assessment</x:v>
      </x:c>
      <x:c r="D46" s="26" t="str">
        <x:v>Yes</x:v>
      </x:c>
      <x:c r="E46" s="26" t="str">
        <x:v>Yes</x:v>
      </x:c>
      <x:c r="F46" s="26" t="str">
        <x:v>Yes</x:v>
      </x:c>
      <x:c r="G46" s="26" t="str">
        <x:v>PASS</x:v>
      </x:c>
      <x:c r="H46" s="26" t="str">
        <x:v>Drawing/spec/tracker aligned in v0.2/v0.4</x:v>
      </x:c>
    </x:row>
    <x:row r="47">
      <x:c r="A47" s="26" t="str">
        <x:v>FIG. 6</x:v>
      </x:c>
      <x:c r="B47" s="26" t="n">
        <x:v>640</x:v>
      </x:c>
      <x:c r="C47" s="26" t="str">
        <x:v>Representation criterion</x:v>
      </x:c>
      <x:c r="D47" s="26" t="str">
        <x:v>Yes</x:v>
      </x:c>
      <x:c r="E47" s="26" t="str">
        <x:v>Yes</x:v>
      </x:c>
      <x:c r="F47" s="26" t="str">
        <x:v>Yes</x:v>
      </x:c>
      <x:c r="G47" s="26" t="str">
        <x:v>PASS</x:v>
      </x:c>
      <x:c r="H47" s="26" t="str">
        <x:v>Drawing/spec/tracker aligned in v0.2/v0.4</x:v>
      </x:c>
    </x:row>
    <x:row r="48">
      <x:c r="A48" s="26" t="str">
        <x:v>FIG. 6</x:v>
      </x:c>
      <x:c r="B48" s="26" t="n">
        <x:v>650</x:v>
      </x:c>
      <x:c r="C48" s="26" t="str">
        <x:v>Representation-ready state</x:v>
      </x:c>
      <x:c r="D48" s="26" t="str">
        <x:v>Yes</x:v>
      </x:c>
      <x:c r="E48" s="26" t="str">
        <x:v>Yes</x:v>
      </x:c>
      <x:c r="F48" s="26" t="str">
        <x:v>Yes</x:v>
      </x:c>
      <x:c r="G48" s="26" t="str">
        <x:v>PASS</x:v>
      </x:c>
      <x:c r="H48" s="26" t="str">
        <x:v>Drawing/spec/tracker aligned in v0.2/v0.4</x:v>
      </x:c>
    </x:row>
    <x:row r="49">
      <x:c r="A49" s="26" t="str">
        <x:v>FIG. 6</x:v>
      </x:c>
      <x:c r="B49" s="26" t="n">
        <x:v>660</x:v>
      </x:c>
      <x:c r="C49" s="26" t="str">
        <x:v>Unknown / new-pig event</x:v>
      </x:c>
      <x:c r="D49" s="26" t="str">
        <x:v>Yes</x:v>
      </x:c>
      <x:c r="E49" s="26" t="str">
        <x:v>Yes</x:v>
      </x:c>
      <x:c r="F49" s="26" t="str">
        <x:v>Yes</x:v>
      </x:c>
      <x:c r="G49" s="26" t="str">
        <x:v>PASS</x:v>
      </x:c>
      <x:c r="H49" s="26" t="str">
        <x:v>Drawing/spec/tracker aligned in v0.2/v0.4</x:v>
      </x:c>
    </x:row>
    <x:row r="50">
      <x:c r="A50" s="26" t="str">
        <x:v>FIG. 7</x:v>
      </x:c>
      <x:c r="B50" s="26" t="n">
        <x:v>710</x:v>
      </x:c>
      <x:c r="C50" s="26" t="str">
        <x:v>Active-member set</x:v>
      </x:c>
      <x:c r="D50" s="26" t="str">
        <x:v>Yes</x:v>
      </x:c>
      <x:c r="E50" s="26" t="str">
        <x:v>Yes</x:v>
      </x:c>
      <x:c r="F50" s="26" t="str">
        <x:v>Yes</x:v>
      </x:c>
      <x:c r="G50" s="26" t="str">
        <x:v>PASS</x:v>
      </x:c>
      <x:c r="H50" s="26" t="str">
        <x:v>Drawing/spec/tracker aligned in v0.2/v0.4</x:v>
      </x:c>
    </x:row>
    <x:row r="51">
      <x:c r="A51" s="26" t="str">
        <x:v>FIG. 7</x:v>
      </x:c>
      <x:c r="B51" s="26" t="n">
        <x:v>720</x:v>
      </x:c>
      <x:c r="C51" s="26" t="str">
        <x:v>Current observations</x:v>
      </x:c>
      <x:c r="D51" s="26" t="str">
        <x:v>Yes</x:v>
      </x:c>
      <x:c r="E51" s="26" t="str">
        <x:v>Yes</x:v>
      </x:c>
      <x:c r="F51" s="26" t="str">
        <x:v>Yes</x:v>
      </x:c>
      <x:c r="G51" s="26" t="str">
        <x:v>PASS</x:v>
      </x:c>
      <x:c r="H51" s="26" t="str">
        <x:v>Drawing/spec/tracker aligned in v0.2/v0.4</x:v>
      </x:c>
    </x:row>
    <x:row r="52">
      <x:c r="A52" s="26" t="str">
        <x:v>FIG. 7</x:v>
      </x:c>
      <x:c r="B52" s="26" t="n">
        <x:v>730</x:v>
      </x:c>
      <x:c r="C52" s="26" t="str">
        <x:v>Identity / recency matching</x:v>
      </x:c>
      <x:c r="D52" s="26" t="str">
        <x:v>Yes</x:v>
      </x:c>
      <x:c r="E52" s="26" t="str">
        <x:v>Yes</x:v>
      </x:c>
      <x:c r="F52" s="26" t="str">
        <x:v>Yes</x:v>
      </x:c>
      <x:c r="G52" s="26" t="str">
        <x:v>PASS</x:v>
      </x:c>
      <x:c r="H52" s="26" t="str">
        <x:v>Drawing/spec/tracker aligned in v0.2/v0.4</x:v>
      </x:c>
    </x:row>
    <x:row r="53">
      <x:c r="A53" s="26" t="str">
        <x:v>FIG. 7</x:v>
      </x:c>
      <x:c r="B53" s="26" t="n">
        <x:v>740</x:v>
      </x:c>
      <x:c r="C53" s="26" t="str">
        <x:v>Required-member test</x:v>
      </x:c>
      <x:c r="D53" s="26" t="str">
        <x:v>Yes</x:v>
      </x:c>
      <x:c r="E53" s="26" t="str">
        <x:v>Yes</x:v>
      </x:c>
      <x:c r="F53" s="26" t="str">
        <x:v>Yes</x:v>
      </x:c>
      <x:c r="G53" s="26" t="str">
        <x:v>PASS</x:v>
      </x:c>
      <x:c r="H53" s="26" t="str">
        <x:v>Drawing/spec/tracker aligned in v0.2/v0.4</x:v>
      </x:c>
    </x:row>
    <x:row r="54">
      <x:c r="A54" s="26" t="str">
        <x:v>FIG. 7</x:v>
      </x:c>
      <x:c r="B54" s="26" t="n">
        <x:v>750</x:v>
      </x:c>
      <x:c r="C54" s="26" t="str">
        <x:v>Unknown / non-target veto</x:v>
      </x:c>
      <x:c r="D54" s="26" t="str">
        <x:v>Yes</x:v>
      </x:c>
      <x:c r="E54" s="26" t="str">
        <x:v>Yes</x:v>
      </x:c>
      <x:c r="F54" s="26" t="str">
        <x:v>Yes</x:v>
      </x:c>
      <x:c r="G54" s="26" t="str">
        <x:v>PASS</x:v>
      </x:c>
      <x:c r="H54" s="26" t="str">
        <x:v>Drawing/spec/tracker aligned in v0.2/v0.4</x:v>
      </x:c>
    </x:row>
    <x:row r="55">
      <x:c r="A55" s="26" t="str">
        <x:v>FIG. 7</x:v>
      </x:c>
      <x:c r="B55" s="26" t="n">
        <x:v>760</x:v>
      </x:c>
      <x:c r="C55" s="26" t="str">
        <x:v>Authorization state</x:v>
      </x:c>
      <x:c r="D55" s="26" t="str">
        <x:v>Yes</x:v>
      </x:c>
      <x:c r="E55" s="26" t="str">
        <x:v>Yes</x:v>
      </x:c>
      <x:c r="F55" s="26" t="str">
        <x:v>Yes</x:v>
      </x:c>
      <x:c r="G55" s="26" t="str">
        <x:v>PASS</x:v>
      </x:c>
      <x:c r="H55" s="26" t="str">
        <x:v>Drawing/spec/tracker aligned in v0.2/v0.4</x:v>
      </x:c>
    </x:row>
    <x:row r="56">
      <x:c r="A56" s="26" t="str">
        <x:v>FIG. 7</x:v>
      </x:c>
      <x:c r="B56" s="26" t="n">
        <x:v>770</x:v>
      </x:c>
      <x:c r="C56" s="26" t="str">
        <x:v>Inhibit / collect more evidence</x:v>
      </x:c>
      <x:c r="D56" s="26" t="str">
        <x:v>Yes</x:v>
      </x:c>
      <x:c r="E56" s="26" t="str">
        <x:v>Yes</x:v>
      </x:c>
      <x:c r="F56" s="26" t="str">
        <x:v>Yes</x:v>
      </x:c>
      <x:c r="G56" s="26" t="str">
        <x:v>PASS</x:v>
      </x:c>
      <x:c r="H56" s="26" t="str">
        <x:v>Drawing/spec/tracker aligned in v0.2/v0.4</x:v>
      </x:c>
    </x:row>
    <x:row r="57">
      <x:c r="A57" s="26" t="str">
        <x:v>FIG. 8</x:v>
      </x:c>
      <x:c r="B57" s="26" t="n">
        <x:v>810</x:v>
      </x:c>
      <x:c r="C57" s="26" t="str">
        <x:v>Target gate</x:v>
      </x:c>
      <x:c r="D57" s="26" t="str">
        <x:v>Yes</x:v>
      </x:c>
      <x:c r="E57" s="26" t="str">
        <x:v>Yes</x:v>
      </x:c>
      <x:c r="F57" s="26" t="str">
        <x:v>Yes</x:v>
      </x:c>
      <x:c r="G57" s="26" t="str">
        <x:v>PASS</x:v>
      </x:c>
      <x:c r="H57" s="26" t="str">
        <x:v>Drawing/spec/tracker aligned in v0.2/v0.4</x:v>
      </x:c>
    </x:row>
    <x:row r="58">
      <x:c r="A58" s="26" t="str">
        <x:v>FIG. 8</x:v>
      </x:c>
      <x:c r="B58" s="26" t="n">
        <x:v>820</x:v>
      </x:c>
      <x:c r="C58" s="26" t="str">
        <x:v>Population gate</x:v>
      </x:c>
      <x:c r="D58" s="26" t="str">
        <x:v>Yes</x:v>
      </x:c>
      <x:c r="E58" s="26" t="str">
        <x:v>Yes</x:v>
      </x:c>
      <x:c r="F58" s="26" t="str">
        <x:v>Yes</x:v>
      </x:c>
      <x:c r="G58" s="26" t="str">
        <x:v>PASS</x:v>
      </x:c>
      <x:c r="H58" s="26" t="str">
        <x:v>Drawing/spec/tracker aligned in v0.2/v0.4</x:v>
      </x:c>
    </x:row>
    <x:row r="59">
      <x:c r="A59" s="26" t="str">
        <x:v>FIG. 8</x:v>
      </x:c>
      <x:c r="B59" s="26" t="n">
        <x:v>830</x:v>
      </x:c>
      <x:c r="C59" s="26" t="str">
        <x:v>Location / schedule gate</x:v>
      </x:c>
      <x:c r="D59" s="26" t="str">
        <x:v>Yes</x:v>
      </x:c>
      <x:c r="E59" s="26" t="str">
        <x:v>Yes</x:v>
      </x:c>
      <x:c r="F59" s="26" t="str">
        <x:v>Yes</x:v>
      </x:c>
      <x:c r="G59" s="26" t="str">
        <x:v>PASS</x:v>
      </x:c>
      <x:c r="H59" s="26" t="str">
        <x:v>Drawing/spec/tracker aligned in v0.2/v0.4</x:v>
      </x:c>
    </x:row>
    <x:row r="60">
      <x:c r="A60" s="26" t="str">
        <x:v>FIG. 8</x:v>
      </x:c>
      <x:c r="B60" s="26" t="n">
        <x:v>840</x:v>
      </x:c>
      <x:c r="C60" s="26" t="str">
        <x:v>Safety-veto gate</x:v>
      </x:c>
      <x:c r="D60" s="26" t="str">
        <x:v>Yes</x:v>
      </x:c>
      <x:c r="E60" s="26" t="str">
        <x:v>Yes</x:v>
      </x:c>
      <x:c r="F60" s="26" t="str">
        <x:v>Yes</x:v>
      </x:c>
      <x:c r="G60" s="26" t="str">
        <x:v>PASS</x:v>
      </x:c>
      <x:c r="H60" s="26" t="str">
        <x:v>Drawing/spec/tracker aligned in v0.2/v0.4</x:v>
      </x:c>
    </x:row>
    <x:row r="61">
      <x:c r="A61" s="26" t="str">
        <x:v>FIG. 8</x:v>
      </x:c>
      <x:c r="B61" s="26" t="n">
        <x:v>850</x:v>
      </x:c>
      <x:c r="C61" s="26" t="str">
        <x:v>Equipment-health gate</x:v>
      </x:c>
      <x:c r="D61" s="26" t="str">
        <x:v>Yes</x:v>
      </x:c>
      <x:c r="E61" s="26" t="str">
        <x:v>Yes</x:v>
      </x:c>
      <x:c r="F61" s="26" t="str">
        <x:v>Yes</x:v>
      </x:c>
      <x:c r="G61" s="26" t="str">
        <x:v>PASS</x:v>
      </x:c>
      <x:c r="H61" s="26" t="str">
        <x:v>Drawing/spec/tracker aligned in v0.2/v0.4</x:v>
      </x:c>
    </x:row>
    <x:row r="62">
      <x:c r="A62" s="26" t="str">
        <x:v>FIG. 8</x:v>
      </x:c>
      <x:c r="B62" s="26" t="n">
        <x:v>860</x:v>
      </x:c>
      <x:c r="C62" s="26" t="str">
        <x:v>Human / autonomous authorization mode</x:v>
      </x:c>
      <x:c r="D62" s="26" t="str">
        <x:v>Yes</x:v>
      </x:c>
      <x:c r="E62" s="26" t="str">
        <x:v>Yes</x:v>
      </x:c>
      <x:c r="F62" s="26" t="str">
        <x:v>Yes</x:v>
      </x:c>
      <x:c r="G62" s="26" t="str">
        <x:v>PASS</x:v>
      </x:c>
      <x:c r="H62" s="26" t="str">
        <x:v>Drawing/spec/tracker aligned in v0.2/v0.4</x:v>
      </x:c>
    </x:row>
    <x:row r="63">
      <x:c r="A63" s="26" t="str">
        <x:v>FIG. 8</x:v>
      </x:c>
      <x:c r="B63" s="26" t="n">
        <x:v>870</x:v>
      </x:c>
      <x:c r="C63" s="26" t="str">
        <x:v>Arm state</x:v>
      </x:c>
      <x:c r="D63" s="26" t="str">
        <x:v>Yes</x:v>
      </x:c>
      <x:c r="E63" s="26" t="str">
        <x:v>Yes</x:v>
      </x:c>
      <x:c r="F63" s="26" t="str">
        <x:v>Yes</x:v>
      </x:c>
      <x:c r="G63" s="26" t="str">
        <x:v>PASS</x:v>
      </x:c>
      <x:c r="H63" s="26" t="str">
        <x:v>Drawing/spec/tracker aligned in v0.2/v0.4</x:v>
      </x:c>
    </x:row>
    <x:row r="64">
      <x:c r="A64" s="26" t="str">
        <x:v>FIG. 8</x:v>
      </x:c>
      <x:c r="B64" s="26" t="n">
        <x:v>880</x:v>
      </x:c>
      <x:c r="C64" s="26" t="str">
        <x:v>Execute state</x:v>
      </x:c>
      <x:c r="D64" s="26" t="str">
        <x:v>Yes</x:v>
      </x:c>
      <x:c r="E64" s="26" t="str">
        <x:v>Yes</x:v>
      </x:c>
      <x:c r="F64" s="26" t="str">
        <x:v>Yes</x:v>
      </x:c>
      <x:c r="G64" s="26" t="str">
        <x:v>PASS</x:v>
      </x:c>
      <x:c r="H64" s="26" t="str">
        <x:v>Drawing/spec/tracker aligned in v0.2/v0.4</x:v>
      </x:c>
    </x:row>
    <x:row r="65">
      <x:c r="A65" s="26" t="str">
        <x:v>FIG. 8</x:v>
      </x:c>
      <x:c r="B65" s="26" t="n">
        <x:v>890</x:v>
      </x:c>
      <x:c r="C65" s="26" t="str">
        <x:v>Disarm / restrict state</x:v>
      </x:c>
      <x:c r="D65" s="26" t="str">
        <x:v>Yes</x:v>
      </x:c>
      <x:c r="E65" s="26" t="str">
        <x:v>Yes</x:v>
      </x:c>
      <x:c r="F65" s="26" t="str">
        <x:v>Yes</x:v>
      </x:c>
      <x:c r="G65" s="26" t="str">
        <x:v>PASS</x:v>
      </x:c>
      <x:c r="H65" s="26" t="str">
        <x:v>Drawing/spec/tracker aligned in v0.2/v0.4</x:v>
      </x:c>
    </x:row>
    <x:row r="66">
      <x:c r="A66" s="26" t="str">
        <x:v>FIG. 9</x:v>
      </x:c>
      <x:c r="B66" s="26" t="n">
        <x:v>900</x:v>
      </x:c>
      <x:c r="C66" s="26" t="str">
        <x:v>Population-control station</x:v>
      </x:c>
      <x:c r="D66" s="26" t="str">
        <x:v>Yes</x:v>
      </x:c>
      <x:c r="E66" s="26" t="str">
        <x:v>Yes</x:v>
      </x:c>
      <x:c r="F66" s="26" t="str">
        <x:v>Yes</x:v>
      </x:c>
      <x:c r="G66" s="26" t="str">
        <x:v>PASS</x:v>
      </x:c>
      <x:c r="H66" s="26" t="str">
        <x:v>Drawing/spec/tracker aligned in v0.2/v0.4</x:v>
      </x:c>
    </x:row>
    <x:row r="67">
      <x:c r="A67" s="26" t="str">
        <x:v>FIG. 9</x:v>
      </x:c>
      <x:c r="B67" s="26" t="n">
        <x:v>910</x:v>
      </x:c>
      <x:c r="C67" s="26" t="str">
        <x:v>Camera</x:v>
      </x:c>
      <x:c r="D67" s="26" t="str">
        <x:v>Yes</x:v>
      </x:c>
      <x:c r="E67" s="26" t="str">
        <x:v>Yes</x:v>
      </x:c>
      <x:c r="F67" s="26" t="str">
        <x:v>Yes</x:v>
      </x:c>
      <x:c r="G67" s="26" t="str">
        <x:v>PASS</x:v>
      </x:c>
      <x:c r="H67" s="26" t="str">
        <x:v>Drawing/spec/tracker aligned in v0.2/v0.4</x:v>
      </x:c>
    </x:row>
    <x:row r="68">
      <x:c r="A68" s="26" t="str">
        <x:v>FIG. 9</x:v>
      </x:c>
      <x:c r="B68" s="26" t="n">
        <x:v>920</x:v>
      </x:c>
      <x:c r="C68" s="26" t="str">
        <x:v>Microphone</x:v>
      </x:c>
      <x:c r="D68" s="26" t="str">
        <x:v>Yes</x:v>
      </x:c>
      <x:c r="E68" s="26" t="str">
        <x:v>Yes</x:v>
      </x:c>
      <x:c r="F68" s="26" t="str">
        <x:v>Yes</x:v>
      </x:c>
      <x:c r="G68" s="26" t="str">
        <x:v>PASS</x:v>
      </x:c>
      <x:c r="H68" s="26" t="str">
        <x:v>Drawing/spec/tracker aligned in v0.2/v0.4</x:v>
      </x:c>
    </x:row>
    <x:row r="69">
      <x:c r="A69" s="26" t="str">
        <x:v>FIG. 9</x:v>
      </x:c>
      <x:c r="B69" s="26" t="n">
        <x:v>930</x:v>
      </x:c>
      <x:c r="C69" s="26" t="str">
        <x:v>Trough</x:v>
      </x:c>
      <x:c r="D69" s="26" t="str">
        <x:v>Yes</x:v>
      </x:c>
      <x:c r="E69" s="26" t="str">
        <x:v>Yes</x:v>
      </x:c>
      <x:c r="F69" s="26" t="str">
        <x:v>Yes</x:v>
      </x:c>
      <x:c r="G69" s="26" t="str">
        <x:v>PASS</x:v>
      </x:c>
      <x:c r="H69" s="26" t="str">
        <x:v>Drawing/spec/tracker aligned in v0.2/v0.4</x:v>
      </x:c>
    </x:row>
    <x:row r="70">
      <x:c r="A70" s="26" t="str">
        <x:v>FIG. 9</x:v>
      </x:c>
      <x:c r="B70" s="26" t="n">
        <x:v>932</x:v>
      </x:c>
      <x:c r="C70" s="26" t="str">
        <x:v>Conditioning-feed region</x:v>
      </x:c>
      <x:c r="D70" s="26" t="str">
        <x:v>Yes</x:v>
      </x:c>
      <x:c r="E70" s="26" t="str">
        <x:v>Yes</x:v>
      </x:c>
      <x:c r="F70" s="26" t="str">
        <x:v>Yes</x:v>
      </x:c>
      <x:c r="G70" s="26" t="str">
        <x:v>PASS</x:v>
      </x:c>
      <x:c r="H70" s="26" t="str">
        <x:v>Drawing/spec/tracker aligned in v0.2/v0.4</x:v>
      </x:c>
    </x:row>
    <x:row r="71">
      <x:c r="A71" s="26" t="str">
        <x:v>FIG. 9</x:v>
      </x:c>
      <x:c r="B71" s="26" t="n">
        <x:v>934</x:v>
      </x:c>
      <x:c r="C71" s="26" t="str">
        <x:v>Treatment-feed region</x:v>
      </x:c>
      <x:c r="D71" s="26" t="str">
        <x:v>Yes</x:v>
      </x:c>
      <x:c r="E71" s="26" t="str">
        <x:v>Yes</x:v>
      </x:c>
      <x:c r="F71" s="26" t="str">
        <x:v>Yes</x:v>
      </x:c>
      <x:c r="G71" s="26" t="str">
        <x:v>PASS</x:v>
      </x:c>
      <x:c r="H71" s="26" t="str">
        <x:v>Drawing/spec/tracker aligned in v0.2/v0.4</x:v>
      </x:c>
    </x:row>
    <x:row r="72">
      <x:c r="A72" s="26" t="str">
        <x:v>FIG. 9</x:v>
      </x:c>
      <x:c r="B72" s="26" t="n">
        <x:v>940</x:v>
      </x:c>
      <x:c r="C72" s="26" t="str">
        <x:v>Access member / gate</x:v>
      </x:c>
      <x:c r="D72" s="26" t="str">
        <x:v>Yes</x:v>
      </x:c>
      <x:c r="E72" s="26" t="str">
        <x:v>Yes</x:v>
      </x:c>
      <x:c r="F72" s="26" t="str">
        <x:v>Yes</x:v>
      </x:c>
      <x:c r="G72" s="26" t="str">
        <x:v>PASS</x:v>
      </x:c>
      <x:c r="H72" s="26" t="str">
        <x:v>Drawing/spec/tracker aligned in v0.2/v0.4</x:v>
      </x:c>
    </x:row>
    <x:row r="73">
      <x:c r="A73" s="26" t="str">
        <x:v>FIG. 9</x:v>
      </x:c>
      <x:c r="B73" s="26" t="n">
        <x:v>950</x:v>
      </x:c>
      <x:c r="C73" s="26" t="str">
        <x:v>Actuator / dispenser</x:v>
      </x:c>
      <x:c r="D73" s="26" t="str">
        <x:v>Yes</x:v>
      </x:c>
      <x:c r="E73" s="26" t="str">
        <x:v>Yes</x:v>
      </x:c>
      <x:c r="F73" s="26" t="str">
        <x:v>Yes</x:v>
      </x:c>
      <x:c r="G73" s="26" t="str">
        <x:v>PASS</x:v>
      </x:c>
      <x:c r="H73" s="26" t="str">
        <x:v>Drawing/spec/tracker aligned in v0.2/v0.4</x:v>
      </x:c>
    </x:row>
    <x:row r="74">
      <x:c r="A74" s="26" t="str">
        <x:v>FIG. 9</x:v>
      </x:c>
      <x:c r="B74" s="26" t="n">
        <x:v>960</x:v>
      </x:c>
      <x:c r="C74" s="26" t="str">
        <x:v>Controller</x:v>
      </x:c>
      <x:c r="D74" s="26" t="str">
        <x:v>Yes</x:v>
      </x:c>
      <x:c r="E74" s="26" t="str">
        <x:v>Yes</x:v>
      </x:c>
      <x:c r="F74" s="26" t="str">
        <x:v>Yes</x:v>
      </x:c>
      <x:c r="G74" s="26" t="str">
        <x:v>PASS</x:v>
      </x:c>
      <x:c r="H74" s="26" t="str">
        <x:v>Drawing/spec/tracker aligned in v0.2/v0.4</x:v>
      </x:c>
    </x:row>
    <x:row r="75">
      <x:c r="A75" s="26" t="str">
        <x:v>FIG. 9</x:v>
      </x:c>
      <x:c r="B75" s="26" t="n">
        <x:v>970</x:v>
      </x:c>
      <x:c r="C75" s="26" t="str">
        <x:v>Position / health sensor</x:v>
      </x:c>
      <x:c r="D75" s="26" t="str">
        <x:v>Yes</x:v>
      </x:c>
      <x:c r="E75" s="26" t="str">
        <x:v>Yes</x:v>
      </x:c>
      <x:c r="F75" s="26" t="str">
        <x:v>Yes</x:v>
      </x:c>
      <x:c r="G75" s="26" t="str">
        <x:v>PASS</x:v>
      </x:c>
      <x:c r="H75" s="26" t="str">
        <x:v>Drawing/spec/tracker aligned in v0.2/v0.4</x:v>
      </x:c>
    </x:row>
    <x:row r="76">
      <x:c r="A76" s="26" t="str">
        <x:v>FIG. 10</x:v>
      </x:c>
      <x:c r="B76" s="26" t="n">
        <x:v>1000</x:v>
      </x:c>
      <x:c r="C76" s="26" t="str">
        <x:v>Common recognition / authorization controller</x:v>
      </x:c>
      <x:c r="D76" s="26" t="str">
        <x:v>Yes</x:v>
      </x:c>
      <x:c r="E76" s="26" t="str">
        <x:v>Yes</x:v>
      </x:c>
      <x:c r="F76" s="26" t="str">
        <x:v>Yes</x:v>
      </x:c>
      <x:c r="G76" s="26" t="str">
        <x:v>PASS</x:v>
      </x:c>
      <x:c r="H76" s="26" t="str">
        <x:v>Drawing/spec/tracker aligned in v0.2/v0.4</x:v>
      </x:c>
    </x:row>
    <x:row r="77">
      <x:c r="A77" s="26" t="str">
        <x:v>FIG. 10</x:v>
      </x:c>
      <x:c r="B77" s="26" t="n">
        <x:v>1010</x:v>
      </x:c>
      <x:c r="C77" s="26" t="str">
        <x:v>General toxicant</x:v>
      </x:c>
      <x:c r="D77" s="26" t="str">
        <x:v>Yes</x:v>
      </x:c>
      <x:c r="E77" s="26" t="str">
        <x:v>Yes</x:v>
      </x:c>
      <x:c r="F77" s="26" t="str">
        <x:v>Yes</x:v>
      </x:c>
      <x:c r="G77" s="26" t="str">
        <x:v>PASS</x:v>
      </x:c>
      <x:c r="H77" s="26" t="str">
        <x:v>Drawing/spec/tracker aligned in v0.2/v0.4</x:v>
      </x:c>
    </x:row>
    <x:row r="78">
      <x:c r="A78" s="26" t="str">
        <x:v>FIG. 10</x:v>
      </x:c>
      <x:c r="B78" s="26" t="n">
        <x:v>1020</x:v>
      </x:c>
      <x:c r="C78" s="26" t="str">
        <x:v>Predetermined toxicant</x:v>
      </x:c>
      <x:c r="D78" s="26" t="str">
        <x:v>Yes</x:v>
      </x:c>
      <x:c r="E78" s="26" t="str">
        <x:v>Yes</x:v>
      </x:c>
      <x:c r="F78" s="26" t="str">
        <x:v>Yes</x:v>
      </x:c>
      <x:c r="G78" s="26" t="str">
        <x:v>PASS</x:v>
      </x:c>
      <x:c r="H78" s="26" t="str">
        <x:v>Drawing/spec/tracker aligned in v0.2/v0.4</x:v>
      </x:c>
    </x:row>
    <x:row r="79">
      <x:c r="A79" s="26" t="str">
        <x:v>FIG. 10</x:v>
      </x:c>
      <x:c r="B79" s="26" t="n">
        <x:v>1030</x:v>
      </x:c>
      <x:c r="C79" s="26" t="str">
        <x:v>Species-selective toxicant</x:v>
      </x:c>
      <x:c r="D79" s="26" t="str">
        <x:v>Yes</x:v>
      </x:c>
      <x:c r="E79" s="26" t="str">
        <x:v>Yes</x:v>
      </x:c>
      <x:c r="F79" s="26" t="str">
        <x:v>Yes</x:v>
      </x:c>
      <x:c r="G79" s="26" t="str">
        <x:v>PASS</x:v>
      </x:c>
      <x:c r="H79" s="26" t="str">
        <x:v>Drawing/spec/tracker aligned in v0.2/v0.4</x:v>
      </x:c>
    </x:row>
    <x:row r="80">
      <x:c r="A80" s="26" t="str">
        <x:v>FIG. 10</x:v>
      </x:c>
      <x:c r="B80" s="26" t="n">
        <x:v>1040</x:v>
      </x:c>
      <x:c r="C80" s="26" t="str">
        <x:v>Reproductive control</x:v>
      </x:c>
      <x:c r="D80" s="26" t="str">
        <x:v>Yes</x:v>
      </x:c>
      <x:c r="E80" s="26" t="str">
        <x:v>Yes</x:v>
      </x:c>
      <x:c r="F80" s="26" t="str">
        <x:v>Yes</x:v>
      </x:c>
      <x:c r="G80" s="26" t="str">
        <x:v>PASS</x:v>
      </x:c>
      <x:c r="H80" s="26" t="str">
        <x:v>Drawing/spec/tracker aligned in v0.2/v0.4</x:v>
      </x:c>
    </x:row>
    <x:row r="81">
      <x:c r="A81" s="26" t="str">
        <x:v>FIG. 10</x:v>
      </x:c>
      <x:c r="B81" s="26" t="n">
        <x:v>1050</x:v>
      </x:c>
      <x:c r="C81" s="26" t="str">
        <x:v>Genetic-modification control</x:v>
      </x:c>
      <x:c r="D81" s="26" t="str">
        <x:v>Yes</x:v>
      </x:c>
      <x:c r="E81" s="26" t="str">
        <x:v>Yes</x:v>
      </x:c>
      <x:c r="F81" s="26" t="str">
        <x:v>Yes</x:v>
      </x:c>
      <x:c r="G81" s="26" t="str">
        <x:v>PASS</x:v>
      </x:c>
      <x:c r="H81" s="26" t="str">
        <x:v>Drawing/spec/tracker aligned in v0.2/v0.4</x:v>
      </x:c>
    </x:row>
    <x:row r="82">
      <x:c r="A82" s="26" t="str">
        <x:v>FIG. 10</x:v>
      </x:c>
      <x:c r="B82" s="26" t="n">
        <x:v>1060</x:v>
      </x:c>
      <x:c r="C82" s="26" t="str">
        <x:v>Conditioning / feed</x:v>
      </x:c>
      <x:c r="D82" s="26" t="str">
        <x:v>Yes</x:v>
      </x:c>
      <x:c r="E82" s="26" t="str">
        <x:v>Yes</x:v>
      </x:c>
      <x:c r="F82" s="26" t="str">
        <x:v>Yes</x:v>
      </x:c>
      <x:c r="G82" s="26" t="str">
        <x:v>PASS</x:v>
      </x:c>
      <x:c r="H82" s="26" t="str">
        <x:v>Drawing/spec/tracker aligned in v0.2/v0.4</x:v>
      </x:c>
    </x:row>
    <x:row r="83">
      <x:c r="A83" s="26" t="str">
        <x:v>FIG. 10</x:v>
      </x:c>
      <x:c r="B83" s="26" t="n">
        <x:v>1070</x:v>
      </x:c>
      <x:c r="C83" s="26" t="str">
        <x:v>Capture + euthanasia</x:v>
      </x:c>
      <x:c r="D83" s="26" t="str">
        <x:v>Yes</x:v>
      </x:c>
      <x:c r="E83" s="26" t="str">
        <x:v>Yes</x:v>
      </x:c>
      <x:c r="F83" s="26" t="str">
        <x:v>Yes</x:v>
      </x:c>
      <x:c r="G83" s="26" t="str">
        <x:v>PASS</x:v>
      </x:c>
      <x:c r="H83" s="26" t="str">
        <x:v>Drawing/spec/tracker aligned in v0.2/v0.4</x:v>
      </x:c>
    </x:row>
    <x:row r="84">
      <x:c r="A84" s="26" t="str">
        <x:v>FIG. 10</x:v>
      </x:c>
      <x:c r="B84" s="26" t="n">
        <x:v>1080</x:v>
      </x:c>
      <x:c r="C84" s="26" t="str">
        <x:v>Treatment interface</x:v>
      </x:c>
      <x:c r="D84" s="26" t="str">
        <x:v>Yes</x:v>
      </x:c>
      <x:c r="E84" s="26" t="str">
        <x:v>Yes</x:v>
      </x:c>
      <x:c r="F84" s="26" t="str">
        <x:v>Yes</x:v>
      </x:c>
      <x:c r="G84" s="26" t="str">
        <x:v>PASS</x:v>
      </x:c>
      <x:c r="H84" s="26" t="str">
        <x:v>Drawing/spec/tracker aligned in v0.2/v0.4</x:v>
      </x:c>
    </x:row>
    <x:row r="85">
      <x:c r="A85" s="26" t="str">
        <x:v>FIG. 11</x:v>
      </x:c>
      <x:c r="B85" s="26" t="n">
        <x:v>1110</x:v>
      </x:c>
      <x:c r="C85" s="26" t="str">
        <x:v>Event logger</x:v>
      </x:c>
      <x:c r="D85" s="26" t="str">
        <x:v>Yes</x:v>
      </x:c>
      <x:c r="E85" s="26" t="str">
        <x:v>Yes</x:v>
      </x:c>
      <x:c r="F85" s="26" t="str">
        <x:v>Yes</x:v>
      </x:c>
      <x:c r="G85" s="26" t="str">
        <x:v>PASS</x:v>
      </x:c>
      <x:c r="H85" s="26" t="str">
        <x:v>Drawing/spec/tracker aligned in v0.2/v0.4</x:v>
      </x:c>
    </x:row>
    <x:row r="86">
      <x:c r="A86" s="26" t="str">
        <x:v>FIG. 11</x:v>
      </x:c>
      <x:c r="B86" s="26" t="n">
        <x:v>1120</x:v>
      </x:c>
      <x:c r="C86" s="26" t="str">
        <x:v>Sensor data</x:v>
      </x:c>
      <x:c r="D86" s="26" t="str">
        <x:v>Yes</x:v>
      </x:c>
      <x:c r="E86" s="26" t="str">
        <x:v>Yes</x:v>
      </x:c>
      <x:c r="F86" s="26" t="str">
        <x:v>Yes</x:v>
      </x:c>
      <x:c r="G86" s="26" t="str">
        <x:v>PASS</x:v>
      </x:c>
      <x:c r="H86" s="26" t="str">
        <x:v>Drawing/spec/tracker aligned in v0.2/v0.4</x:v>
      </x:c>
    </x:row>
    <x:row r="87">
      <x:c r="A87" s="26" t="str">
        <x:v>FIG. 11</x:v>
      </x:c>
      <x:c r="B87" s="26" t="n">
        <x:v>1130</x:v>
      </x:c>
      <x:c r="C87" s="26" t="str">
        <x:v>Recognition outputs</x:v>
      </x:c>
      <x:c r="D87" s="26" t="str">
        <x:v>Yes</x:v>
      </x:c>
      <x:c r="E87" s="26" t="str">
        <x:v>Yes</x:v>
      </x:c>
      <x:c r="F87" s="26" t="str">
        <x:v>Yes</x:v>
      </x:c>
      <x:c r="G87" s="26" t="str">
        <x:v>PASS</x:v>
      </x:c>
      <x:c r="H87" s="26" t="str">
        <x:v>Drawing/spec/tracker aligned in v0.2/v0.4</x:v>
      </x:c>
    </x:row>
    <x:row r="88">
      <x:c r="A88" s="26" t="str">
        <x:v>FIG. 11</x:v>
      </x:c>
      <x:c r="B88" s="26" t="n">
        <x:v>1140</x:v>
      </x:c>
      <x:c r="C88" s="26" t="str">
        <x:v>Population state</x:v>
      </x:c>
      <x:c r="D88" s="26" t="str">
        <x:v>Yes</x:v>
      </x:c>
      <x:c r="E88" s="26" t="str">
        <x:v>Yes</x:v>
      </x:c>
      <x:c r="F88" s="26" t="str">
        <x:v>Yes</x:v>
      </x:c>
      <x:c r="G88" s="26" t="str">
        <x:v>PASS</x:v>
      </x:c>
      <x:c r="H88" s="26" t="str">
        <x:v>Drawing/spec/tracker aligned in v0.2/v0.4</x:v>
      </x:c>
    </x:row>
    <x:row r="89">
      <x:c r="A89" s="26" t="str">
        <x:v>FIG. 11</x:v>
      </x:c>
      <x:c r="B89" s="26" t="n">
        <x:v>1150</x:v>
      </x:c>
      <x:c r="C89" s="26" t="str">
        <x:v>Authorization state</x:v>
      </x:c>
      <x:c r="D89" s="26" t="str">
        <x:v>Yes</x:v>
      </x:c>
      <x:c r="E89" s="26" t="str">
        <x:v>Yes</x:v>
      </x:c>
      <x:c r="F89" s="26" t="str">
        <x:v>Yes</x:v>
      </x:c>
      <x:c r="G89" s="26" t="str">
        <x:v>PASS</x:v>
      </x:c>
      <x:c r="H89" s="26" t="str">
        <x:v>Drawing/spec/tracker aligned in v0.2/v0.4</x:v>
      </x:c>
    </x:row>
    <x:row r="90">
      <x:c r="A90" s="26" t="str">
        <x:v>FIG. 11</x:v>
      </x:c>
      <x:c r="B90" s="26" t="n">
        <x:v>1160</x:v>
      </x:c>
      <x:c r="C90" s="26" t="str">
        <x:v>Operator action</x:v>
      </x:c>
      <x:c r="D90" s="26" t="str">
        <x:v>Yes</x:v>
      </x:c>
      <x:c r="E90" s="26" t="str">
        <x:v>Yes</x:v>
      </x:c>
      <x:c r="F90" s="26" t="str">
        <x:v>Yes</x:v>
      </x:c>
      <x:c r="G90" s="26" t="str">
        <x:v>PASS</x:v>
      </x:c>
      <x:c r="H90" s="26" t="str">
        <x:v>Drawing/spec/tracker aligned in v0.2/v0.4</x:v>
      </x:c>
    </x:row>
    <x:row r="91">
      <x:c r="A91" s="26" t="str">
        <x:v>FIG. 11</x:v>
      </x:c>
      <x:c r="B91" s="26" t="n">
        <x:v>1170</x:v>
      </x:c>
      <x:c r="C91" s="26" t="str">
        <x:v>Actuator feedback</x:v>
      </x:c>
      <x:c r="D91" s="26" t="str">
        <x:v>Yes</x:v>
      </x:c>
      <x:c r="E91" s="26" t="str">
        <x:v>Yes</x:v>
      </x:c>
      <x:c r="F91" s="26" t="str">
        <x:v>Yes</x:v>
      </x:c>
      <x:c r="G91" s="26" t="str">
        <x:v>PASS</x:v>
      </x:c>
      <x:c r="H91" s="26" t="str">
        <x:v>Drawing/spec/tracker aligned in v0.2/v0.4</x:v>
      </x:c>
    </x:row>
    <x:row r="92">
      <x:c r="A92" s="26" t="str">
        <x:v>FIG. 11</x:v>
      </x:c>
      <x:c r="B92" s="26" t="n">
        <x:v>1180</x:v>
      </x:c>
      <x:c r="C92" s="26" t="str">
        <x:v>Model / configuration version</x:v>
      </x:c>
      <x:c r="D92" s="26" t="str">
        <x:v>Yes</x:v>
      </x:c>
      <x:c r="E92" s="26" t="str">
        <x:v>Yes</x:v>
      </x:c>
      <x:c r="F92" s="26" t="str">
        <x:v>Yes</x:v>
      </x:c>
      <x:c r="G92" s="26" t="str">
        <x:v>PASS</x:v>
      </x:c>
      <x:c r="H92" s="26" t="str">
        <x:v>Drawing/spec/tracker aligned in v0.2/v0.4</x:v>
      </x:c>
    </x:row>
    <x:row r="93">
      <x:c r="A93" s="26" t="str">
        <x:v>FIG. 11</x:v>
      </x:c>
      <x:c r="B93" s="26" t="n">
        <x:v>1190</x:v>
      </x:c>
      <x:c r="C93" s="26" t="str">
        <x:v>Registry / treatment-status update</x:v>
      </x:c>
      <x:c r="D93" s="26" t="str">
        <x:v>Yes</x:v>
      </x:c>
      <x:c r="E93" s="26" t="str">
        <x:v>Yes</x:v>
      </x:c>
      <x:c r="F93" s="26" t="str">
        <x:v>Yes</x:v>
      </x:c>
      <x:c r="G93" s="26" t="str">
        <x:v>PASS</x:v>
      </x:c>
      <x:c r="H93" s="26" t="str">
        <x:v>Drawing/spec/tracker aligned in v0.2/v0.4</x:v>
      </x:c>
    </x:row>
    <x:row r="94">
      <x:c r="A94" s="26" t="str">
        <x:v>FIG. 12</x:v>
      </x:c>
      <x:c r="B94" s="26" t="n">
        <x:v>1210</x:v>
      </x:c>
      <x:c r="C94" s="26" t="str">
        <x:v>Common target-animal core</x:v>
      </x:c>
      <x:c r="D94" s="26" t="str">
        <x:v>Yes</x:v>
      </x:c>
      <x:c r="E94" s="26" t="str">
        <x:v>Yes</x:v>
      </x:c>
      <x:c r="F94" s="26" t="str">
        <x:v>Yes</x:v>
      </x:c>
      <x:c r="G94" s="26" t="str">
        <x:v>PASS</x:v>
      </x:c>
      <x:c r="H94" s="26" t="str">
        <x:v>Drawing/spec/tracker aligned in v0.2/v0.4</x:v>
      </x:c>
    </x:row>
    <x:row r="95">
      <x:c r="A95" s="26" t="str">
        <x:v>FIG. 12</x:v>
      </x:c>
      <x:c r="B95" s="26" t="n">
        <x:v>1220</x:v>
      </x:c>
      <x:c r="C95" s="26" t="str">
        <x:v>Terrestrial-mammal module</x:v>
      </x:c>
      <x:c r="D95" s="26" t="str">
        <x:v>Yes</x:v>
      </x:c>
      <x:c r="E95" s="26" t="str">
        <x:v>Yes</x:v>
      </x:c>
      <x:c r="F95" s="26" t="str">
        <x:v>Yes</x:v>
      </x:c>
      <x:c r="G95" s="26" t="str">
        <x:v>PASS</x:v>
      </x:c>
      <x:c r="H95" s="26" t="str">
        <x:v>Drawing/spec/tracker aligned in v0.2/v0.4</x:v>
      </x:c>
    </x:row>
    <x:row r="96">
      <x:c r="A96" s="26" t="str">
        <x:v>FIG. 12</x:v>
      </x:c>
      <x:c r="B96" s="26" t="n">
        <x:v>1230</x:v>
      </x:c>
      <x:c r="C96" s="26" t="str">
        <x:v>Bird module</x:v>
      </x:c>
      <x:c r="D96" s="26" t="str">
        <x:v>Yes</x:v>
      </x:c>
      <x:c r="E96" s="26" t="str">
        <x:v>Yes</x:v>
      </x:c>
      <x:c r="F96" s="26" t="str">
        <x:v>Yes</x:v>
      </x:c>
      <x:c r="G96" s="26" t="str">
        <x:v>PASS</x:v>
      </x:c>
      <x:c r="H96" s="26" t="str">
        <x:v>Drawing/spec/tracker aligned in v0.2/v0.4</x:v>
      </x:c>
    </x:row>
    <x:row r="97">
      <x:c r="A97" s="26" t="str">
        <x:v>FIG. 12</x:v>
      </x:c>
      <x:c r="B97" s="26" t="n">
        <x:v>1240</x:v>
      </x:c>
      <x:c r="C97" s="26" t="str">
        <x:v>Reptile / amphibian module</x:v>
      </x:c>
      <x:c r="D97" s="26" t="str">
        <x:v>Yes</x:v>
      </x:c>
      <x:c r="E97" s="26" t="str">
        <x:v>Yes</x:v>
      </x:c>
      <x:c r="F97" s="26" t="str">
        <x:v>Yes</x:v>
      </x:c>
      <x:c r="G97" s="26" t="str">
        <x:v>PASS</x:v>
      </x:c>
      <x:c r="H97" s="26" t="str">
        <x:v>Drawing/spec/tracker aligned in v0.2/v0.4</x:v>
      </x:c>
    </x:row>
    <x:row r="98">
      <x:c r="A98" s="26" t="str">
        <x:v>FIG. 12</x:v>
      </x:c>
      <x:c r="B98" s="26" t="n">
        <x:v>1250</x:v>
      </x:c>
      <x:c r="C98" s="26" t="str">
        <x:v>Aquatic-vertebrate module</x:v>
      </x:c>
      <x:c r="D98" s="26" t="str">
        <x:v>Yes</x:v>
      </x:c>
      <x:c r="E98" s="26" t="str">
        <x:v>Yes</x:v>
      </x:c>
      <x:c r="F98" s="26" t="str">
        <x:v>Yes</x:v>
      </x:c>
      <x:c r="G98" s="26" t="str">
        <x:v>PASS</x:v>
      </x:c>
      <x:c r="H98" s="26" t="str">
        <x:v>Drawing/spec/tracker aligned in v0.2/v0.4</x:v>
      </x:c>
    </x:row>
    <x:row r="99">
      <x:c r="A99" s="26" t="str">
        <x:v>FIG. 12</x:v>
      </x:c>
      <x:c r="B99" s="26" t="n">
        <x:v>1260</x:v>
      </x:c>
      <x:c r="C99" s="26" t="str">
        <x:v>Arthropod module</x:v>
      </x:c>
      <x:c r="D99" s="26" t="str">
        <x:v>Yes</x:v>
      </x:c>
      <x:c r="E99" s="26" t="str">
        <x:v>Yes</x:v>
      </x:c>
      <x:c r="F99" s="26" t="str">
        <x:v>Yes</x:v>
      </x:c>
      <x:c r="G99" s="26" t="str">
        <x:v>PASS</x:v>
      </x:c>
      <x:c r="H99" s="26" t="str">
        <x:v>Drawing/spec/tracker aligned in v0.2/v0.4</x:v>
      </x:c>
    </x:row>
    <x:row r="100">
      <x:c r="A100" s="26" t="str">
        <x:v>FIG. 12</x:v>
      </x:c>
      <x:c r="B100" s="26" t="n">
        <x:v>1270</x:v>
      </x:c>
      <x:c r="C100" s="26" t="str">
        <x:v>Sensor adaptation</x:v>
      </x:c>
      <x:c r="D100" s="26" t="str">
        <x:v>Yes</x:v>
      </x:c>
      <x:c r="E100" s="26" t="str">
        <x:v>Yes</x:v>
      </x:c>
      <x:c r="F100" s="26" t="str">
        <x:v>Yes</x:v>
      </x:c>
      <x:c r="G100" s="26" t="str">
        <x:v>PASS</x:v>
      </x:c>
      <x:c r="H100" s="26" t="str">
        <x:v>Drawing/spec/tracker aligned in v0.2/v0.4</x:v>
      </x:c>
    </x:row>
    <x:row r="101">
      <x:c r="A101" s="26" t="str">
        <x:v>FIG. 12</x:v>
      </x:c>
      <x:c r="B101" s="26" t="n">
        <x:v>1280</x:v>
      </x:c>
      <x:c r="C101" s="26" t="str">
        <x:v>Treatment adaptation</x:v>
      </x:c>
      <x:c r="D101" s="26" t="str">
        <x:v>Yes</x:v>
      </x:c>
      <x:c r="E101" s="26" t="str">
        <x:v>Yes</x:v>
      </x:c>
      <x:c r="F101" s="26" t="str">
        <x:v>Yes</x:v>
      </x:c>
      <x:c r="G101" s="26" t="str">
        <x:v>PASS</x:v>
      </x:c>
      <x:c r="H101" s="26" t="str">
        <x:v>Drawing/spec/tracker aligned in v0.2/v0.4</x:v>
      </x:c>
    </x:row>
    <x:row r="102">
      <x:c r="A102" s="26" t="str">
        <x:v>FIG. 12</x:v>
      </x:c>
      <x:c r="B102" s="26" t="n">
        <x:v>1290</x:v>
      </x:c>
      <x:c r="C102" s="26" t="str">
        <x:v>Non-target / regulatory configuration</x:v>
      </x:c>
      <x:c r="D102" s="26" t="str">
        <x:v>Yes</x:v>
      </x:c>
      <x:c r="E102" s="26" t="str">
        <x:v>Yes</x:v>
      </x:c>
      <x:c r="F102" s="26" t="str">
        <x:v>Yes</x:v>
      </x:c>
      <x:c r="G102" s="26" t="str">
        <x:v>PASS</x:v>
      </x:c>
      <x:c r="H102" s="26" t="str">
        <x:v>Drawing/spec/tracker aligned in v0.2/v0.4</x:v>
      </x:c>
    </x:row>
    <x:row r="103">
      <x:c r="A103" s="26" t="str">
        <x:v>FIG. 1</x:v>
      </x:c>
      <x:c r="B103" s="26" t="n">
        <x:v>112</x:v>
      </x:c>
      <x:c r="C103" s="26" t="str">
        <x:v>Camera</x:v>
      </x:c>
      <x:c r="D103" s="26" t="str">
        <x:v>Yes</x:v>
      </x:c>
      <x:c r="E103" s="26" t="str">
        <x:v>Yes</x:v>
      </x:c>
      <x:c r="F103" s="26" t="str">
        <x:v>Yes</x:v>
      </x:c>
      <x:c r="G103" s="26" t="str">
        <x:v>PASS</x:v>
      </x:c>
      <x:c r="H103" s="26" t="str">
        <x:v>Drawing/spec/tracker aligned in v0.2/v0.4</x:v>
      </x:c>
    </x:row>
    <x:row r="104">
      <x:c r="A104" s="26" t="str">
        <x:v>FIG. 1</x:v>
      </x:c>
      <x:c r="B104" s="26" t="n">
        <x:v>114</x:v>
      </x:c>
      <x:c r="C104" s="26" t="str">
        <x:v>Microphone</x:v>
      </x:c>
      <x:c r="D104" s="26" t="str">
        <x:v>Yes</x:v>
      </x:c>
      <x:c r="E104" s="26" t="str">
        <x:v>Yes</x:v>
      </x:c>
      <x:c r="F104" s="26" t="str">
        <x:v>Yes</x:v>
      </x:c>
      <x:c r="G104" s="26" t="str">
        <x:v>PASS</x:v>
      </x:c>
      <x:c r="H104" s="26" t="str">
        <x:v>Drawing/spec/tracker aligned in v0.2/v0.4</x:v>
      </x:c>
    </x:row>
    <x:row r="105">
      <x:c r="A105" s="26" t="str">
        <x:v>FIG. 1</x:v>
      </x:c>
      <x:c r="B105" s="26" t="n">
        <x:v>116</x:v>
      </x:c>
      <x:c r="C105" s="26" t="str">
        <x:v>Other sensor(s)</x:v>
      </x:c>
      <x:c r="D105" s="26" t="str">
        <x:v>Yes</x:v>
      </x:c>
      <x:c r="E105" s="26" t="str">
        <x:v>Yes</x:v>
      </x:c>
      <x:c r="F105" s="26" t="str">
        <x:v>Yes</x:v>
      </x:c>
      <x:c r="G105" s="26" t="str">
        <x:v>PASS</x:v>
      </x:c>
      <x:c r="H105" s="26" t="str">
        <x:v>Drawing/spec/tracker aligned in v0.2/v0.4</x:v>
      </x:c>
    </x:row>
    <x:row r="106">
      <x:c r="A106" s="26" t="str">
        <x:v>FIG. 1</x:v>
      </x:c>
      <x:c r="B106" s="26" t="n">
        <x:v>122</x:v>
      </x:c>
      <x:c r="C106" s="26" t="str">
        <x:v>Edge processor</x:v>
      </x:c>
      <x:c r="D106" s="26" t="str">
        <x:v>Yes</x:v>
      </x:c>
      <x:c r="E106" s="26" t="str">
        <x:v>Yes</x:v>
      </x:c>
      <x:c r="F106" s="26" t="str">
        <x:v>Yes</x:v>
      </x:c>
      <x:c r="G106" s="26" t="str">
        <x:v>PASS</x:v>
      </x:c>
      <x:c r="H106" s="26" t="str">
        <x:v>Drawing/spec/tracker aligned in v0.2/v0.4</x:v>
      </x:c>
    </x:row>
    <x:row r="107">
      <x:c r="A107" s="26" t="str">
        <x:v>FIG. 1</x:v>
      </x:c>
      <x:c r="B107" s="26" t="n">
        <x:v>124</x:v>
      </x:c>
      <x:c r="C107" s="26" t="str">
        <x:v>Remote processor</x:v>
      </x:c>
      <x:c r="D107" s="26" t="str">
        <x:v>Yes</x:v>
      </x:c>
      <x:c r="E107" s="26" t="str">
        <x:v>Yes</x:v>
      </x:c>
      <x:c r="F107" s="26" t="str">
        <x:v>Yes</x:v>
      </x:c>
      <x:c r="G107" s="26" t="str">
        <x:v>PASS</x:v>
      </x:c>
      <x:c r="H107" s="26" t="str">
        <x:v>Drawing/spec/tracker aligned in v0.2/v0.4</x:v>
      </x:c>
    </x:row>
    <x:row r="108">
      <x:c r="A108" s="26" t="str">
        <x:v>FIG. 2</x:v>
      </x:c>
      <x:c r="B108" s="26" t="n">
        <x:v>262</x:v>
      </x:c>
      <x:c r="C108" s="26" t="str">
        <x:v>Audio evidence</x:v>
      </x:c>
      <x:c r="D108" s="26" t="str">
        <x:v>Yes</x:v>
      </x:c>
      <x:c r="E108" s="26" t="str">
        <x:v>Yes</x:v>
      </x:c>
      <x:c r="F108" s="26" t="str">
        <x:v>Yes</x:v>
      </x:c>
      <x:c r="G108" s="26" t="str">
        <x:v>PASS</x:v>
      </x:c>
      <x:c r="H108" s="26" t="str">
        <x:v>Drawing/spec/tracker aligned in v0.2/v0.4</x:v>
      </x:c>
    </x:row>
    <x:row r="109">
      <x:c r="A109" s="26" t="str">
        <x:v>FIG. 2</x:v>
      </x:c>
      <x:c r="B109" s="26" t="n">
        <x:v>264</x:v>
      </x:c>
      <x:c r="C109" s="26" t="str">
        <x:v>Video evidence</x:v>
      </x:c>
      <x:c r="D109" s="26" t="str">
        <x:v>Yes</x:v>
      </x:c>
      <x:c r="E109" s="26" t="str">
        <x:v>Yes</x:v>
      </x:c>
      <x:c r="F109" s="26" t="str">
        <x:v>Yes</x:v>
      </x:c>
      <x:c r="G109" s="26" t="str">
        <x:v>PASS</x:v>
      </x:c>
      <x:c r="H109" s="26" t="str">
        <x:v>Drawing/spec/tracker aligned in v0.2/v0.4</x:v>
      </x:c>
    </x:row>
    <x:row r="110">
      <x:c r="A110" s="26" t="str">
        <x:v>FIG. 4</x:v>
      </x:c>
      <x:c r="B110" s="26" t="n">
        <x:v>440</x:v>
      </x:c>
      <x:c r="C110" s="26" t="str">
        <x:v>Active working set</x:v>
      </x:c>
      <x:c r="D110" s="26" t="str">
        <x:v>Yes</x:v>
      </x:c>
      <x:c r="E110" s="26" t="str">
        <x:v>Yes</x:v>
      </x:c>
      <x:c r="F110" s="26" t="str">
        <x:v>Yes</x:v>
      </x:c>
      <x:c r="G110" s="26" t="str">
        <x:v>PASS</x:v>
      </x:c>
      <x:c r="H110" s="26" t="str">
        <x:v>Drawing/spec/tracker aligned in v0.2/v0.4</x:v>
      </x:c>
    </x:row>
    <x:row r="111">
      <x:c r="A111" s="26" t="str">
        <x:v>FIG. 4</x:v>
      </x:c>
      <x:c r="B111" s="26" t="n">
        <x:v>450</x:v>
      </x:c>
      <x:c r="C111" s="26" t="str">
        <x:v>Candidate / unknown set</x:v>
      </x:c>
      <x:c r="D111" s="26" t="str">
        <x:v>Yes</x:v>
      </x:c>
      <x:c r="E111" s="26" t="str">
        <x:v>Yes</x:v>
      </x:c>
      <x:c r="F111" s="26" t="str">
        <x:v>Yes</x:v>
      </x:c>
      <x:c r="G111" s="26" t="str">
        <x:v>PASS</x:v>
      </x:c>
      <x:c r="H111" s="26" t="str">
        <x:v>Drawing/spec/tracker aligned in v0.2/v0.4</x:v>
      </x:c>
    </x:row>
    <x:row r="112">
      <x:c r="A112" s="26" t="str">
        <x:v>FIG. 4</x:v>
      </x:c>
      <x:c r="B112" s="26" t="n">
        <x:v>460</x:v>
      </x:c>
      <x:c r="C112" s="26" t="str">
        <x:v>Inactive / removed set</x:v>
      </x:c>
      <x:c r="D112" s="26" t="str">
        <x:v>Yes</x:v>
      </x:c>
      <x:c r="E112" s="26" t="str">
        <x:v>Yes</x:v>
      </x:c>
      <x:c r="F112" s="26" t="str">
        <x:v>Yes</x:v>
      </x:c>
      <x:c r="G112" s="26" t="str">
        <x:v>PASS</x:v>
      </x:c>
      <x:c r="H112" s="26" t="str">
        <x:v>Drawing/spec/tracker aligned in v0.2/v0.4</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9" hidden="0" customWidth="1"/>
    <x:col min="2" max="2" width="12" hidden="0" customWidth="1"/>
    <x:col min="3" max="3" width="34" hidden="0" customWidth="1"/>
    <x:col min="4" max="4" width="52" hidden="0" customWidth="1"/>
    <x:col min="5" max="5" width="32" hidden="0" customWidth="1"/>
    <x:col min="6" max="6" width="22" hidden="0" customWidth="1"/>
    <x:col min="7" max="7" width="24" hidden="0" customWidth="1"/>
    <x:col min="8" max="8" width="24" hidden="0" customWidth="1"/>
    <x:col min="9" max="9" width="12" hidden="0" customWidth="1"/>
    <x:col min="10" max="10" width="52" hidden="0" customWidth="1"/>
    <x:col min="11" max="11" width="14" hidden="0" customWidth="1"/>
  </x:cols>
  <x:sheetData>
    <x:row r="1">
      <x:c r="A1" s="62" t="str">
        <x:v>Claim</x:v>
      </x:c>
      <x:c r="B1" s="62" t="str">
        <x:v>Limitation ID</x:v>
      </x:c>
      <x:c r="C1" s="62" t="str">
        <x:v>Independent family</x:v>
      </x:c>
      <x:c r="D1" s="62" t="str">
        <x:v>Claim limitation / concept</x:v>
      </x:c>
      <x:c r="E1" s="62" t="str">
        <x:v>Exact spec support</x:v>
      </x:c>
      <x:c r="F1" s="62" t="str">
        <x:v>Figure support</x:v>
      </x:c>
      <x:c r="G1" s="62" t="str">
        <x:v>Support rating</x:v>
      </x:c>
      <x:c r="H1" s="62" t="str">
        <x:v>§112 issue</x:v>
      </x:c>
      <x:c r="I1" s="62" t="str">
        <x:v>Blocking?</x:v>
      </x:c>
      <x:c r="J1" s="62" t="str">
        <x:v>Required action</x:v>
      </x:c>
      <x:c r="K1" s="62" t="str">
        <x:v>Last updated</x:v>
      </x:c>
    </x:row>
    <x:row r="2">
      <x:c r="A2" s="26" t="n">
        <x:v>1</x:v>
      </x:c>
      <x:c r="B2" s="26" t="str">
        <x:v>1A</x:v>
      </x:c>
      <x:c r="C2" s="26" t="str">
        <x:v>General feral-pig population control</x:v>
      </x:c>
      <x:c r="D2" s="26" t="str">
        <x:v>Acquire audio data, video data, or both from a monitored area using one or more sensors</x:v>
      </x:c>
      <x:c r="E2" s="26" t="str">
        <x:v>[0006]-[0008]; [0014]; [0061]-[0079]; [0218]</x:v>
      </x:c>
      <x:c r="F2" s="26" t="str">
        <x:v>FIGS. 1-2</x:v>
      </x:c>
      <x:c r="G2" s="26" t="str">
        <x:v>Strong</x:v>
      </x:c>
      <x:c r="H2" s="26" t="str">
        <x:v>§112(a)</x:v>
      </x:c>
      <x:c r="I2" s="26" t="str">
        <x:v>No</x:v>
      </x:c>
      <x:c r="J2" s="26" t="str">
        <x:v>Retain; figure/spec support concrete.</x:v>
      </x:c>
      <x:c r="K2" s="28" t="n">
        <x:v>46268</x:v>
      </x:c>
    </x:row>
    <x:row r="3">
      <x:c r="A3" s="26" t="n">
        <x:v>1</x:v>
      </x:c>
      <x:c r="B3" s="26" t="str">
        <x:v>1B</x:v>
      </x:c>
      <x:c r="C3" s="26" t="str">
        <x:v>General feral-pig population control</x:v>
      </x:c>
      <x:c r="D3" s="26" t="str">
        <x:v>Use recognition technology to determine one or more feral pigs are present</x:v>
      </x:c>
      <x:c r="E3" s="26" t="str">
        <x:v>[0006]-[0008]; [0014]-[0016]; [0069]-[0079]; [0176]-[0179]; [0218]-[0219]</x:v>
      </x:c>
      <x:c r="F3" s="26" t="str">
        <x:v>FIGS. 1-3</x:v>
      </x:c>
      <x:c r="G3" s="26" t="str">
        <x:v>Strong</x:v>
      </x:c>
      <x:c r="H3" s="26" t="str">
        <x:v>Prior art / §112(a)</x:v>
      </x:c>
      <x:c r="I3" s="26" t="str">
        <x:v>No</x:v>
      </x:c>
      <x:c r="J3" s="26" t="str">
        <x:v>Formal prior-art charting remains.</x:v>
      </x:c>
      <x:c r="K3" s="28" t="n">
        <x:v>46268</x:v>
      </x:c>
    </x:row>
    <x:row r="4">
      <x:c r="A4" s="26" t="n">
        <x:v>1</x:v>
      </x:c>
      <x:c r="B4" s="26" t="str">
        <x:v>1C</x:v>
      </x:c>
      <x:c r="C4" s="26" t="str">
        <x:v>General feral-pig population control</x:v>
      </x:c>
      <x:c r="D4" s="26" t="str">
        <x:v>Selectively authorize administration of a population-control treatment based on recognition</x:v>
      </x:c>
      <x:c r="E4" s="26" t="str">
        <x:v>[0014]-[0022]; [0121]-[0129]; [0130]-[0162]; [0218]-[0223]</x:v>
      </x:c>
      <x:c r="F4" s="26" t="str">
        <x:v>FIGS. 1,8-10</x:v>
      </x:c>
      <x:c r="G4" s="26" t="str">
        <x:v>Strong</x:v>
      </x:c>
      <x:c r="H4" s="26" t="str">
        <x:v>Prior art</x:v>
      </x:c>
      <x:c r="I4" s="26" t="str">
        <x:v>No</x:v>
      </x:c>
      <x:c r="J4" s="26" t="str">
        <x:v>Retain broad gate; preserve narrower branches.</x:v>
      </x:c>
      <x:c r="K4" s="28" t="n">
        <x:v>46268</x:v>
      </x:c>
    </x:row>
    <x:row r="5">
      <x:c r="A5" s="26" t="n">
        <x:v>1</x:v>
      </x:c>
      <x:c r="B5" s="26" t="str">
        <x:v>1D</x:v>
      </x:c>
      <x:c r="C5" s="26" t="str">
        <x:v>General feral-pig population control</x:v>
      </x:c>
      <x:c r="D5" s="26" t="str">
        <x:v>Treatment configured to reduce survival, fertility, reproductive success, population growth, or persistence</x:v>
      </x:c>
      <x:c r="E5" s="26" t="str">
        <x:v>[0017]-[0020]; [0049]-[0054]; [0130]-[0154]; [0196]-[0204]</x:v>
      </x:c>
      <x:c r="F5" s="26" t="str">
        <x:v>FIG. 10</x:v>
      </x:c>
      <x:c r="G5" s="26" t="str">
        <x:v>Partial/branch-dependent</x:v>
      </x:c>
      <x:c r="H5" s="26" t="str">
        <x:v>§112(a)/enablement</x:v>
      </x:c>
      <x:c r="I5" s="26" t="str">
        <x:v>No</x:v>
      </x:c>
      <x:c r="J5" s="26" t="str">
        <x:v>Breadth depends on support of each treatment branch.</x:v>
      </x:c>
      <x:c r="K5" s="28" t="n">
        <x:v>46268</x:v>
      </x:c>
    </x:row>
    <x:row r="6">
      <x:c r="A6" s="26" t="n">
        <x:v>1</x:v>
      </x:c>
      <x:c r="B6" s="26" t="str">
        <x:v>1E</x:v>
      </x:c>
      <x:c r="C6" s="26" t="str">
        <x:v>General feral-pig population control</x:v>
      </x:c>
      <x:c r="D6" s="26" t="str">
        <x:v>Inhibit administration when a non-target condition is detected</x:v>
      </x:c>
      <x:c r="E6" s="26" t="str">
        <x:v>[0048]; [0121]-[0129]; [0163]-[0170]; [0220]-[0223]</x:v>
      </x:c>
      <x:c r="F6" s="26" t="str">
        <x:v>FIGS. 2,8</x:v>
      </x:c>
      <x:c r="G6" s="26" t="str">
        <x:v>Strong</x:v>
      </x:c>
      <x:c r="H6" s="26" t="str">
        <x:v>§112(a)/§112(b)</x:v>
      </x:c>
      <x:c r="I6" s="26" t="str">
        <x:v>No</x:v>
      </x:c>
      <x:c r="J6" s="26" t="str">
        <x:v>Retain explicit non-target/unknown definitions and veto logic.</x:v>
      </x:c>
      <x:c r="K6" s="28" t="n">
        <x:v>46268</x:v>
      </x:c>
    </x:row>
    <x:row r="7">
      <x:c r="A7" s="26" t="n">
        <x:v>11</x:v>
      </x:c>
      <x:c r="B7" s="26" t="str">
        <x:v>11A</x:v>
      </x:c>
      <x:c r="C7" s="26" t="str">
        <x:v>Local-population learning / completeness</x:v>
      </x:c>
      <x:c r="D7" s="26" t="str">
        <x:v>During an observation period obtain audio/video observations from a geographic area</x:v>
      </x:c>
      <x:c r="E7" s="26" t="str">
        <x:v>[0102]-[0105]; [0228]-[0231]</x:v>
      </x:c>
      <x:c r="F7" s="26" t="str">
        <x:v>FIG. 6</x:v>
      </x:c>
      <x:c r="G7" s="26" t="str">
        <x:v>Strong</x:v>
      </x:c>
      <x:c r="H7" s="26" t="str">
        <x:v>§112(a)</x:v>
      </x:c>
      <x:c r="I7" s="26" t="str">
        <x:v>No</x:v>
      </x:c>
      <x:c r="J7" s="26" t="str">
        <x:v>Observation period concretely defined.</x:v>
      </x:c>
      <x:c r="K7" s="28" t="n">
        <x:v>46268</x:v>
      </x:c>
    </x:row>
    <x:row r="8">
      <x:c r="A8" s="26" t="n">
        <x:v>11</x:v>
      </x:c>
      <x:c r="B8" s="26" t="str">
        <x:v>11B</x:v>
      </x:c>
      <x:c r="C8" s="26" t="str">
        <x:v>Local-population learning / completeness</x:v>
      </x:c>
      <x:c r="D8" s="26" t="str">
        <x:v>Process observations using trained ML model(s) to recognize feral pigs</x:v>
      </x:c>
      <x:c r="E8" s="26" t="str">
        <x:v>[0069]-[0089]; [0176]-[0179]</x:v>
      </x:c>
      <x:c r="F8" s="26" t="str">
        <x:v>FIGS. 2-3</x:v>
      </x:c>
      <x:c r="G8" s="26" t="str">
        <x:v>Strong</x:v>
      </x:c>
      <x:c r="H8" s="26" t="str">
        <x:v>Prior art</x:v>
      </x:c>
      <x:c r="I8" s="26" t="str">
        <x:v>No</x:v>
      </x:c>
      <x:c r="J8" s="26" t="str">
        <x:v>Formal prior-art search required.</x:v>
      </x:c>
      <x:c r="K8" s="28" t="n">
        <x:v>46268</x:v>
      </x:c>
    </x:row>
    <x:row r="9">
      <x:c r="A9" s="26" t="n">
        <x:v>11</x:v>
      </x:c>
      <x:c r="B9" s="26" t="str">
        <x:v>11C</x:v>
      </x:c>
      <x:c r="C9" s="26" t="str">
        <x:v>Local-population learning / completeness</x:v>
      </x:c>
      <x:c r="D9" s="26" t="str">
        <x:v>Establish and maintain a working population set from observations at different times</x:v>
      </x:c>
      <x:c r="E9" s="26" t="str">
        <x:v>[0056]-[0059]; [0090]-[0106]; [0228]-[0235]</x:v>
      </x:c>
      <x:c r="F9" s="26" t="str">
        <x:v>FIGS. 4-6</x:v>
      </x:c>
      <x:c r="G9" s="26" t="str">
        <x:v>Strong/confirmation-gated</x:v>
      </x:c>
      <x:c r="H9" s="26" t="str">
        <x:v>§112(a)</x:v>
      </x:c>
      <x:c r="I9" s="26" t="str">
        <x:v>Yes</x:v>
      </x:c>
      <x:c r="J9" s="26" t="str">
        <x:v>Inventor-confirm re-identification evidence, activation/inactivation, merge/split and membership logic.</x:v>
      </x:c>
      <x:c r="K9" s="28" t="n">
        <x:v>46268</x:v>
      </x:c>
    </x:row>
    <x:row r="10">
      <x:c r="A10" s="26" t="n">
        <x:v>11</x:v>
      </x:c>
      <x:c r="B10" s="26" t="str">
        <x:v>11D</x:v>
      </x:c>
      <x:c r="C10" s="26" t="str">
        <x:v>Local-population learning / completeness</x:v>
      </x:c>
      <x:c r="D10" s="26" t="str">
        <x:v>Obtain current audio/video data after establishing the working population set</x:v>
      </x:c>
      <x:c r="E10" s="26" t="str">
        <x:v>[0107]-[0113]; [0232]-[0237]</x:v>
      </x:c>
      <x:c r="F10" s="26" t="str">
        <x:v>FIG. 7</x:v>
      </x:c>
      <x:c r="G10" s="26" t="str">
        <x:v>Strong</x:v>
      </x:c>
      <x:c r="H10" s="26" t="str">
        <x:v>§112(a)</x:v>
      </x:c>
      <x:c r="I10" s="26" t="str">
        <x:v>No</x:v>
      </x:c>
      <x:c r="J10" s="26" t="str">
        <x:v>Current-observation/recency architecture concrete.</x:v>
      </x:c>
      <x:c r="K10" s="28" t="n">
        <x:v>46268</x:v>
      </x:c>
    </x:row>
    <x:row r="11">
      <x:c r="A11" s="26" t="n">
        <x:v>11</x:v>
      </x:c>
      <x:c r="B11" s="26" t="str">
        <x:v>11E</x:v>
      </x:c>
      <x:c r="C11" s="26" t="str">
        <x:v>Local-population learning / completeness</x:v>
      </x:c>
      <x:c r="D11" s="26" t="str">
        <x:v>Determine from current data and working set that population-presence criterion is satisfied</x:v>
      </x:c>
      <x:c r="E11" s="26" t="str">
        <x:v>[0058]-[0059]; [0104]-[0120]; [0230]-[0237]</x:v>
      </x:c>
      <x:c r="F11" s="26" t="str">
        <x:v>FIGS. 6-8</x:v>
      </x:c>
      <x:c r="G11" s="26" t="str">
        <x:v>Strong text / inventor-confirmation gated</x:v>
      </x:c>
      <x:c r="H11" s="26" t="str">
        <x:v>§112(a)/§112(b)</x:v>
      </x:c>
      <x:c r="I11" s="26" t="str">
        <x:v>Yes</x:v>
      </x:c>
      <x:c r="J11" s="26" t="str">
        <x:v>Inventor-confirm COMPLETE rule, representation-ready rule, unknown-pig handling, recency and revalidation.</x:v>
      </x:c>
      <x:c r="K11" s="28" t="n">
        <x:v>46268</x:v>
      </x:c>
    </x:row>
    <x:row r="12">
      <x:c r="A12" s="26" t="n">
        <x:v>11</x:v>
      </x:c>
      <x:c r="B12" s="26" t="str">
        <x:v>11F</x:v>
      </x:c>
      <x:c r="C12" s="26" t="str">
        <x:v>Local-population learning / completeness</x:v>
      </x:c>
      <x:c r="D12" s="26" t="str">
        <x:v>After criterion is satisfied, selectively administer treatment to pigs represented in working set</x:v>
      </x:c>
      <x:c r="E12" s="26" t="str">
        <x:v>[0121]-[0129]; [0155]-[0162]; [0200]; [0220]-[0223]; [0236]</x:v>
      </x:c>
      <x:c r="F12" s="26" t="str">
        <x:v>FIGS. 7-10</x:v>
      </x:c>
      <x:c r="G12" s="26" t="str">
        <x:v>Strong</x:v>
      </x:c>
      <x:c r="H12" s="26" t="str">
        <x:v>§112(a)</x:v>
      </x:c>
      <x:c r="I12" s="26" t="str">
        <x:v>No</x:v>
      </x:c>
      <x:c r="J12" s="26" t="str">
        <x:v>Depends on selected treatment branch.</x:v>
      </x:c>
      <x:c r="K12" s="28" t="n">
        <x:v>46268</x:v>
      </x:c>
    </x:row>
    <x:row r="13">
      <x:c r="A13" s="26" t="n">
        <x:v>21</x:v>
      </x:c>
      <x:c r="B13" s="26" t="str">
        <x:v>21A</x:v>
      </x:c>
      <x:c r="C13" s="26" t="str">
        <x:v>General toxicant selective exposure</x:v>
      </x:c>
      <x:c r="D13" s="26" t="str">
        <x:v>Monitor access region/source using audio, video, or both</x:v>
      </x:c>
      <x:c r="E13" s="26" t="str">
        <x:v>[0046]; [0061]-[0079]; [0238]-[0249]</x:v>
      </x:c>
      <x:c r="F13" s="26" t="str">
        <x:v>FIGS. 1-2,9</x:v>
      </x:c>
      <x:c r="G13" s="26" t="str">
        <x:v>Strong</x:v>
      </x:c>
      <x:c r="H13" s="26" t="str">
        <x:v>§112(a)</x:v>
      </x:c>
      <x:c r="I13" s="26" t="str">
        <x:v>No</x:v>
      </x:c>
      <x:c r="J13" s="26" t="str">
        <x:v>Concrete monitored-station support.</x:v>
      </x:c>
      <x:c r="K13" s="28" t="n">
        <x:v>46268</x:v>
      </x:c>
    </x:row>
    <x:row r="14">
      <x:c r="A14" s="26" t="n">
        <x:v>21</x:v>
      </x:c>
      <x:c r="B14" s="26" t="str">
        <x:v>21B</x:v>
      </x:c>
      <x:c r="C14" s="26" t="str">
        <x:v>General toxicant selective exposure</x:v>
      </x:c>
      <x:c r="D14" s="26" t="str">
        <x:v>Distinguish feral pigs from non-target animals</x:v>
      </x:c>
      <x:c r="E14" s="26" t="str">
        <x:v>[0048]; [0055]; [0069]-[0079]</x:v>
      </x:c>
      <x:c r="F14" s="26" t="str">
        <x:v>FIGS. 2,8</x:v>
      </x:c>
      <x:c r="G14" s="26" t="str">
        <x:v>Strong</x:v>
      </x:c>
      <x:c r="H14" s="26" t="str">
        <x:v>Prior art</x:v>
      </x:c>
      <x:c r="I14" s="26" t="str">
        <x:v>No</x:v>
      </x:c>
      <x:c r="J14" s="26" t="str">
        <x:v>Retain unknown/veto states.</x:v>
      </x:c>
      <x:c r="K14" s="28" t="n">
        <x:v>46268</x:v>
      </x:c>
    </x:row>
    <x:row r="15">
      <x:c r="A15" s="26" t="n">
        <x:v>21</x:v>
      </x:c>
      <x:c r="B15" s="26" t="str">
        <x:v>21C</x:v>
      </x:c>
      <x:c r="C15" s="26" t="str">
        <x:v>General toxicant selective exposure</x:v>
      </x:c>
      <x:c r="D15" s="26" t="str">
        <x:v>Maintain toxicant in restricted-access state</x:v>
      </x:c>
      <x:c r="E15" s="26" t="str">
        <x:v>[0132]-[0133]; [0155]-[0162]; [0184]-[0185]; [0250]-[0256]</x:v>
      </x:c>
      <x:c r="F15" s="26" t="str">
        <x:v>FIGS. 9-10</x:v>
      </x:c>
      <x:c r="G15" s="26" t="str">
        <x:v>Strong</x:v>
      </x:c>
      <x:c r="H15" s="26" t="str">
        <x:v>§112(a)</x:v>
      </x:c>
      <x:c r="I15" s="26" t="str">
        <x:v>No</x:v>
      </x:c>
      <x:c r="J15" s="26" t="str">
        <x:v>Physical access structures expressly disclosed.</x:v>
      </x:c>
      <x:c r="K15" s="28" t="n">
        <x:v>46268</x:v>
      </x:c>
    </x:row>
    <x:row r="16">
      <x:c r="A16" s="26" t="n">
        <x:v>21</x:v>
      </x:c>
      <x:c r="B16" s="26" t="str">
        <x:v>21D</x:v>
      </x:c>
      <x:c r="C16" s="26" t="str">
        <x:v>General toxicant selective exposure</x:v>
      </x:c>
      <x:c r="D16" s="26" t="str">
        <x:v>Transition access/dispensing device to permit exposure after authorization</x:v>
      </x:c>
      <x:c r="E16" s="26" t="str">
        <x:v>[0121]-[0129]; [0132]-[0133]; [0155]-[0162]; [0254]-[0256]</x:v>
      </x:c>
      <x:c r="F16" s="26" t="str">
        <x:v>FIGS. 8-10</x:v>
      </x:c>
      <x:c r="G16" s="26" t="str">
        <x:v>Strong</x:v>
      </x:c>
      <x:c r="H16" s="26" t="str">
        <x:v>Prior art</x:v>
      </x:c>
      <x:c r="I16" s="26" t="str">
        <x:v>No</x:v>
      </x:c>
      <x:c r="J16" s="26" t="str">
        <x:v>Formal search against species-specific feeder art.</x:v>
      </x:c>
      <x:c r="K16" s="28" t="n">
        <x:v>46268</x:v>
      </x:c>
    </x:row>
    <x:row r="17">
      <x:c r="A17" s="26" t="n">
        <x:v>21</x:v>
      </x:c>
      <x:c r="B17" s="26" t="str">
        <x:v>21E</x:v>
      </x:c>
      <x:c r="C17" s="26" t="str">
        <x:v>General toxicant selective exposure</x:v>
      </x:c>
      <x:c r="D17" s="26" t="str">
        <x:v>Return device to restricted state after interval or non-target condition</x:v>
      </x:c>
      <x:c r="E17" s="26" t="str">
        <x:v>[0111]; [0129]; [0159]-[0162]; [0163]-[0170]; [0222]-[0223]</x:v>
      </x:c>
      <x:c r="F17" s="26" t="str">
        <x:v>FIGS. 8-9</x:v>
      </x:c>
      <x:c r="G17" s="26" t="str">
        <x:v>Strong</x:v>
      </x:c>
      <x:c r="H17" s="26" t="str">
        <x:v>§112(a)</x:v>
      </x:c>
      <x:c r="I17" s="26" t="str">
        <x:v>No</x:v>
      </x:c>
      <x:c r="J17" s="26" t="str">
        <x:v>Retain fail-safe and feedback detail.</x:v>
      </x:c>
      <x:c r="K17" s="28" t="n">
        <x:v>46268</x:v>
      </x:c>
    </x:row>
    <x:row r="18">
      <x:c r="A18" s="26" t="n">
        <x:v>21</x:v>
      </x:c>
      <x:c r="B18" s="26" t="str">
        <x:v>21F</x:v>
      </x:c>
      <x:c r="C18" s="26" t="str">
        <x:v>General toxicant selective exposure</x:v>
      </x:c>
      <x:c r="D18" s="26" t="str">
        <x:v>General toxicant is lethal to pigs and need not be intrinsically selective</x:v>
      </x:c>
      <x:c r="E18" s="26" t="str">
        <x:v>[0050]; [0131]-[0133]; [0146]; [0250]-[0259]</x:v>
      </x:c>
      <x:c r="F18" s="26" t="str">
        <x:v>FIG. 10</x:v>
      </x:c>
      <x:c r="G18" s="26" t="str">
        <x:v>Strong representative support</x:v>
      </x:c>
      <x:c r="H18" s="26" t="str">
        <x:v>§112(a)/regulatory</x:v>
      </x:c>
      <x:c r="I18" s="26" t="str">
        <x:v>No</x:v>
      </x:c>
      <x:c r="J18" s="26" t="str">
        <x:v>Warfarin and sodium-nitrite branches supply concrete species; field authorization separate.</x:v>
      </x:c>
      <x:c r="K18" s="28" t="n">
        <x:v>46268</x:v>
      </x:c>
    </x:row>
    <x:row r="19">
      <x:c r="A19" s="26" t="n">
        <x:v>31</x:v>
      </x:c>
      <x:c r="B19" s="26" t="str">
        <x:v>31A</x:v>
      </x:c>
      <x:c r="C19" s="26" t="str">
        <x:v>Species-selective toxicant</x:v>
      </x:c>
      <x:c r="D19" s="26" t="str">
        <x:v>Acquire audio/video data and recognize a feral pig at treatment location</x:v>
      </x:c>
      <x:c r="E19" s="26" t="str">
        <x:v>[0069]-[0079]; [0176]-[0179]</x:v>
      </x:c>
      <x:c r="F19" s="26" t="str">
        <x:v>FIGS. 2,10</x:v>
      </x:c>
      <x:c r="G19" s="26" t="str">
        <x:v>Strong</x:v>
      </x:c>
      <x:c r="H19" s="26" t="str">
        <x:v>§112(a)</x:v>
      </x:c>
      <x:c r="I19" s="26" t="str">
        <x:v>No</x:v>
      </x:c>
      <x:c r="J19" s="26" t="str">
        <x:v>Recognition portion supported.</x:v>
      </x:c>
      <x:c r="K19" s="28" t="n">
        <x:v>46268</x:v>
      </x:c>
    </x:row>
    <x:row r="20">
      <x:c r="A20" s="26" t="n">
        <x:v>31</x:v>
      </x:c>
      <x:c r="B20" s="26" t="str">
        <x:v>31B</x:v>
      </x:c>
      <x:c r="C20" s="26" t="str">
        <x:v>Species-selective toxicant</x:v>
      </x:c>
      <x:c r="D20" s="26" t="str">
        <x:v>Determine administration condition is satisfied</x:v>
      </x:c>
      <x:c r="E20" s="26" t="str">
        <x:v>[0121]-[0129]</x:v>
      </x:c>
      <x:c r="F20" s="26" t="str">
        <x:v>FIG. 8</x:v>
      </x:c>
      <x:c r="G20" s="26" t="str">
        <x:v>Strong</x:v>
      </x:c>
      <x:c r="H20" s="26" t="str">
        <x:v>§112(a)/§112(b)</x:v>
      </x:c>
      <x:c r="I20" s="26" t="str">
        <x:v>No</x:v>
      </x:c>
      <x:c r="J20" s="26" t="str">
        <x:v>Authorization states concrete.</x:v>
      </x:c>
      <x:c r="K20" s="28" t="n">
        <x:v>46268</x:v>
      </x:c>
    </x:row>
    <x:row r="21">
      <x:c r="A21" s="26" t="n">
        <x:v>31</x:v>
      </x:c>
      <x:c r="B21" s="26" t="str">
        <x:v>31C</x:v>
      </x:c>
      <x:c r="C21" s="26" t="str">
        <x:v>Species-selective toxicant</x:v>
      </x:c>
      <x:c r="D21" s="26" t="str">
        <x:v>Administer toxicant having greater toxic effect in feral pigs than selected non-target species</x:v>
      </x:c>
      <x:c r="E21" s="26" t="str">
        <x:v>[0051]; [0134]-[0135]; [0146]-[0147]</x:v>
      </x:c>
      <x:c r="F21" s="26" t="str">
        <x:v>FIG. 10</x:v>
      </x:c>
      <x:c r="G21" s="26" t="str">
        <x:v>Partial / unresolved genus</x:v>
      </x:c>
      <x:c r="H21" s="26" t="str">
        <x:v>§112(a)/enablement</x:v>
      </x:c>
      <x:c r="I21" s="26" t="str">
        <x:v>Yes</x:v>
      </x:c>
      <x:c r="J21" s="26" t="str">
        <x:v>Identify inventor-conceived toxicant species/class and technical basis of differential toxicity.</x:v>
      </x:c>
      <x:c r="K21" s="28" t="n">
        <x:v>46268</x:v>
      </x:c>
    </x:row>
    <x:row r="22">
      <x:c r="A22" s="26" t="n">
        <x:v>31</x:v>
      </x:c>
      <x:c r="B22" s="26" t="str">
        <x:v>31D</x:v>
      </x:c>
      <x:c r="C22" s="26" t="str">
        <x:v>Species-selective toxicant</x:v>
      </x:c>
      <x:c r="D22" s="26" t="str">
        <x:v>Recognition-gated administration combined with toxicological selectivity</x:v>
      </x:c>
      <x:c r="E22" s="26" t="str">
        <x:v>[0134]; [0147]; [0155]-[0162]</x:v>
      </x:c>
      <x:c r="F22" s="26" t="str">
        <x:v>FIGS. 8-10</x:v>
      </x:c>
      <x:c r="G22" s="26" t="str">
        <x:v>Strong architecture / treatment species gap</x:v>
      </x:c>
      <x:c r="H22" s="26" t="str">
        <x:v>§112(a)</x:v>
      </x:c>
      <x:c r="I22" s="26" t="str">
        <x:v>Yes</x:v>
      </x:c>
      <x:c r="J22" s="26" t="str">
        <x:v>Architecture supported; treatment genus still needs inventor-conceived representative species.</x:v>
      </x:c>
      <x:c r="K22" s="28" t="n">
        <x:v>46268</x:v>
      </x:c>
    </x:row>
    <x:row r="23">
      <x:c r="A23" s="26" t="n">
        <x:v>41</x:v>
      </x:c>
      <x:c r="B23" s="26" t="str">
        <x:v>41A</x:v>
      </x:c>
      <x:c r="C23" s="26" t="str">
        <x:v>Reproductive control</x:v>
      </x:c>
      <x:c r="D23" s="26" t="str">
        <x:v>Monitor geographic area with audio/video and recognize feral pigs</x:v>
      </x:c>
      <x:c r="E23" s="26" t="str">
        <x:v>[0069]-[0079]</x:v>
      </x:c>
      <x:c r="F23" s="26" t="str">
        <x:v>FIGS. 1-3</x:v>
      </x:c>
      <x:c r="G23" s="26" t="str">
        <x:v>Strong</x:v>
      </x:c>
      <x:c r="H23" s="26" t="str">
        <x:v>§112(a)</x:v>
      </x:c>
      <x:c r="I23" s="26" t="str">
        <x:v>No</x:v>
      </x:c>
      <x:c r="J23" s="26" t="str">
        <x:v>Recognition supported.</x:v>
      </x:c>
      <x:c r="K23" s="28" t="n">
        <x:v>46268</x:v>
      </x:c>
    </x:row>
    <x:row r="24">
      <x:c r="A24" s="26" t="n">
        <x:v>41</x:v>
      </x:c>
      <x:c r="B24" s="26" t="str">
        <x:v>41B</x:v>
      </x:c>
      <x:c r="C24" s="26" t="str">
        <x:v>Reproductive control</x:v>
      </x:c>
      <x:c r="D24" s="26" t="str">
        <x:v>Selectively administer reproductive-control treatment based on recognition</x:v>
      </x:c>
      <x:c r="E24" s="26" t="str">
        <x:v>[0052]; [0136]-[0137]; [0148]-[0151]; [0188]-[0189]; [0260]-[0265]</x:v>
      </x:c>
      <x:c r="F24" s="26" t="str">
        <x:v>FIGS. 4,9-10</x:v>
      </x:c>
      <x:c r="G24" s="26" t="str">
        <x:v>Partial/representative</x:v>
      </x:c>
      <x:c r="H24" s="26" t="str">
        <x:v>§112(a)/enablement</x:v>
      </x:c>
      <x:c r="I24" s="26" t="str">
        <x:v>Yes</x:v>
      </x:c>
      <x:c r="J24" s="26" t="str">
        <x:v>Inventor-confirm actually contemplated agent(s), route(s), and repeat-treatment protocol.</x:v>
      </x:c>
      <x:c r="K24" s="28" t="n">
        <x:v>46268</x:v>
      </x:c>
    </x:row>
    <x:row r="25">
      <x:c r="A25" s="26" t="n">
        <x:v>41</x:v>
      </x:c>
      <x:c r="B25" s="26" t="str">
        <x:v>41C</x:v>
      </x:c>
      <x:c r="C25" s="26" t="str">
        <x:v>Reproductive control</x:v>
      </x:c>
      <x:c r="D25" s="26" t="str">
        <x:v>Treatment reduces fertility/mating/conception/gestation/gamete production without immediate death</x:v>
      </x:c>
      <x:c r="E25" s="26" t="str">
        <x:v>[0052]; [0136]; [0148]-[0149]; [0260]-[0264]</x:v>
      </x:c>
      <x:c r="F25" s="26" t="str">
        <x:v>FIG. 10</x:v>
      </x:c>
      <x:c r="G25" s="26" t="str">
        <x:v>Strong class-level support</x:v>
      </x:c>
      <x:c r="H25" s="26" t="str">
        <x:v>§112(a)</x:v>
      </x:c>
      <x:c r="I25" s="26" t="str">
        <x:v>No</x:v>
      </x:c>
      <x:c r="J25" s="26" t="str">
        <x:v>Concrete public classes exist; inventor possession of selected embodiment still required.</x:v>
      </x:c>
      <x:c r="K25" s="28" t="n">
        <x:v>46268</x:v>
      </x:c>
    </x:row>
    <x:row r="26">
      <x:c r="A26" s="26" t="n">
        <x:v>41</x:v>
      </x:c>
      <x:c r="B26" s="26" t="str">
        <x:v>41D</x:v>
      </x:c>
      <x:c r="C26" s="26" t="str">
        <x:v>Reproductive control</x:v>
      </x:c>
      <x:c r="D26" s="26" t="str">
        <x:v>Inhibit administration on non-target condition</x:v>
      </x:c>
      <x:c r="E26" s="26" t="str">
        <x:v>[0048]; [0121]-[0129]; [0163]-[0170]</x:v>
      </x:c>
      <x:c r="F26" s="26" t="str">
        <x:v>FIGS. 2,8</x:v>
      </x:c>
      <x:c r="G26" s="26" t="str">
        <x:v>Strong</x:v>
      </x:c>
      <x:c r="H26" s="26" t="str">
        <x:v>§112(a)</x:v>
      </x:c>
      <x:c r="I26" s="26" t="str">
        <x:v>No</x:v>
      </x:c>
      <x:c r="J26" s="26" t="str">
        <x:v>Retain safety gating.</x:v>
      </x:c>
      <x:c r="K26" s="28" t="n">
        <x:v>46268</x:v>
      </x:c>
    </x:row>
    <x:row r="27">
      <x:c r="A27" s="26" t="n">
        <x:v>51</x:v>
      </x:c>
      <x:c r="B27" s="26" t="str">
        <x:v>51A</x:v>
      </x:c>
      <x:c r="C27" s="26" t="str">
        <x:v>Genetic-modification control</x:v>
      </x:c>
      <x:c r="D27" s="26" t="str">
        <x:v>Obtain audio/video and recognize feral pigs</x:v>
      </x:c>
      <x:c r="E27" s="26" t="str">
        <x:v>[0069]-[0079]</x:v>
      </x:c>
      <x:c r="F27" s="26" t="str">
        <x:v>FIGS. 2-3</x:v>
      </x:c>
      <x:c r="G27" s="26" t="str">
        <x:v>Strong</x:v>
      </x:c>
      <x:c r="H27" s="26" t="str">
        <x:v>§112(a)</x:v>
      </x:c>
      <x:c r="I27" s="26" t="str">
        <x:v>No</x:v>
      </x:c>
      <x:c r="J27" s="26" t="str">
        <x:v>Recognition supported.</x:v>
      </x:c>
      <x:c r="K27" s="28" t="n">
        <x:v>46268</x:v>
      </x:c>
    </x:row>
    <x:row r="28">
      <x:c r="A28" s="26" t="n">
        <x:v>51</x:v>
      </x:c>
      <x:c r="B28" s="26" t="str">
        <x:v>51B</x:v>
      </x:c>
      <x:c r="C28" s="26" t="str">
        <x:v>Genetic-modification control</x:v>
      </x:c>
      <x:c r="D28" s="26" t="str">
        <x:v>Determine delivery condition based on identification</x:v>
      </x:c>
      <x:c r="E28" s="26" t="str">
        <x:v>[0121]-[0129]</x:v>
      </x:c>
      <x:c r="F28" s="26" t="str">
        <x:v>FIG. 8</x:v>
      </x:c>
      <x:c r="G28" s="26" t="str">
        <x:v>Strong</x:v>
      </x:c>
      <x:c r="H28" s="26" t="str">
        <x:v>§112(a)</x:v>
      </x:c>
      <x:c r="I28" s="26" t="str">
        <x:v>No</x:v>
      </x:c>
      <x:c r="J28" s="26" t="str">
        <x:v>Authorization supported.</x:v>
      </x:c>
      <x:c r="K28" s="28" t="n">
        <x:v>46268</x:v>
      </x:c>
    </x:row>
    <x:row r="29">
      <x:c r="A29" s="26" t="n">
        <x:v>51</x:v>
      </x:c>
      <x:c r="B29" s="26" t="str">
        <x:v>51C</x:v>
      </x:c>
      <x:c r="C29" s="26" t="str">
        <x:v>Genetic-modification control</x:v>
      </x:c>
      <x:c r="D29" s="26" t="str">
        <x:v>Selectively administer a genetic-modification treatment</x:v>
      </x:c>
      <x:c r="E29" s="26" t="str">
        <x:v>[0053]; [0138]-[0140]; [0152]-[0154]; [0190]-[0191]</x:v>
      </x:c>
      <x:c r="F29" s="26" t="str">
        <x:v>FIG. 10</x:v>
      </x:c>
      <x:c r="G29" s="26" t="str">
        <x:v>Textual only / blocking</x:v>
      </x:c>
      <x:c r="H29" s="26" t="str">
        <x:v>§112(a)/enablement</x:v>
      </x:c>
      <x:c r="I29" s="26" t="str">
        <x:v>Yes</x:v>
      </x:c>
      <x:c r="J29" s="26" t="str">
        <x:v>Inventor must provide concrete mechanism, effect, delivery route and enabling implementation or narrow/defer.</x:v>
      </x:c>
      <x:c r="K29" s="28" t="n">
        <x:v>46268</x:v>
      </x:c>
    </x:row>
    <x:row r="30">
      <x:c r="A30" s="26" t="n">
        <x:v>51</x:v>
      </x:c>
      <x:c r="B30" s="26" t="str">
        <x:v>51D</x:v>
      </x:c>
      <x:c r="C30" s="26" t="str">
        <x:v>Genetic-modification control</x:v>
      </x:c>
      <x:c r="D30" s="26" t="str">
        <x:v>Treatment alters genetic material or gene expression to reduce viability/fertility/reproductive success/trait propagation/population persistence</x:v>
      </x:c>
      <x:c r="E30" s="26" t="str">
        <x:v>[0053]; [0138]; [0152]-[0154]</x:v>
      </x:c>
      <x:c r="F30" s="26" t="str">
        <x:v>FIG. 10</x:v>
      </x:c>
      <x:c r="G30" s="26" t="str">
        <x:v>Genus concept only / blocking</x:v>
      </x:c>
      <x:c r="H30" s="26" t="str">
        <x:v>§112(a)/enablement</x:v>
      </x:c>
      <x:c r="I30" s="26" t="str">
        <x:v>Yes</x:v>
      </x:c>
      <x:c r="J30" s="26" t="str">
        <x:v>Public-art examples do not substitute for inventor conception.</x:v>
      </x:c>
      <x:c r="K30" s="28" t="n">
        <x:v>46268</x:v>
      </x:c>
    </x:row>
    <x:row r="31">
      <x:c r="A31" s="26" t="n">
        <x:v>61</x:v>
      </x:c>
      <x:c r="B31" s="26" t="str">
        <x:v>61A</x:v>
      </x:c>
      <x:c r="C31" s="26" t="str">
        <x:v>Feed-mediated population control</x:v>
      </x:c>
      <x:c r="D31" s="26" t="str">
        <x:v>Monitor feeding location using audio/video and recognize feral pigs vs non-targets</x:v>
      </x:c>
      <x:c r="E31" s="26" t="str">
        <x:v>[0069]-[0079]; [0238]-[0249]</x:v>
      </x:c>
      <x:c r="F31" s="26" t="str">
        <x:v>FIGS. 2,9</x:v>
      </x:c>
      <x:c r="G31" s="26" t="str">
        <x:v>Strong</x:v>
      </x:c>
      <x:c r="H31" s="26" t="str">
        <x:v>§112(a)</x:v>
      </x:c>
      <x:c r="I31" s="26" t="str">
        <x:v>No</x:v>
      </x:c>
      <x:c r="J31" s="26" t="str">
        <x:v>Concrete monitored trough/feed station.</x:v>
      </x:c>
      <x:c r="K31" s="28" t="n">
        <x:v>46268</x:v>
      </x:c>
    </x:row>
    <x:row r="32">
      <x:c r="A32" s="26" t="n">
        <x:v>61</x:v>
      </x:c>
      <x:c r="B32" s="26" t="str">
        <x:v>61B</x:v>
      </x:c>
      <x:c r="C32" s="26" t="str">
        <x:v>Feed-mediated population control</x:v>
      </x:c>
      <x:c r="D32" s="26" t="str">
        <x:v>Selectively provide feed based on recognition</x:v>
      </x:c>
      <x:c r="E32" s="26" t="str">
        <x:v>[0141]-[0144]; [0155]-[0162]; [0176]-[0177]; [0192]; [0238]-[0249]</x:v>
      </x:c>
      <x:c r="F32" s="26" t="str">
        <x:v>FIGS. 9-10</x:v>
      </x:c>
      <x:c r="G32" s="26" t="str">
        <x:v>Strong</x:v>
      </x:c>
      <x:c r="H32" s="26" t="str">
        <x:v>Prior art</x:v>
      </x:c>
      <x:c r="I32" s="26" t="str">
        <x:v>No</x:v>
      </x:c>
      <x:c r="J32" s="26" t="str">
        <x:v>Prebaiting/feeders crowded; formal search required.</x:v>
      </x:c>
      <x:c r="K32" s="28" t="n">
        <x:v>46268</x:v>
      </x:c>
    </x:row>
    <x:row r="33">
      <x:c r="A33" s="26" t="n">
        <x:v>61</x:v>
      </x:c>
      <x:c r="B33" s="26" t="str">
        <x:v>61C</x:v>
      </x:c>
      <x:c r="C33" s="26" t="str">
        <x:v>Feed-mediated population control</x:v>
      </x:c>
      <x:c r="D33" s="26" t="str">
        <x:v>Feed protocol alters aggregation/location/return/feeding/condition/survival or susceptibility to later control</x:v>
      </x:c>
      <x:c r="E33" s="26" t="str">
        <x:v>[0141]-[0145]; [0192]; [0202]; [0238]-[0248]</x:v>
      </x:c>
      <x:c r="F33" s="26" t="str">
        <x:v>FIGS. 6,9-10</x:v>
      </x:c>
      <x:c r="G33" s="26" t="str">
        <x:v>Strong for conditioning/susceptibility; branch-dependent for direct survival/reproduction</x:v>
      </x:c>
      <x:c r="H33" s="26" t="str">
        <x:v>§112(a)</x:v>
      </x:c>
      <x:c r="I33" s="26" t="str">
        <x:v>No</x:v>
      </x:c>
      <x:c r="J33" s="26" t="str">
        <x:v>Do not rely on feed-alone direct mortality/fertility absent specific mechanism.</x:v>
      </x:c>
      <x:c r="K33" s="28" t="n">
        <x:v>46268</x:v>
      </x:c>
    </x:row>
    <x:row r="34">
      <x:c r="A34" s="26" t="n">
        <x:v>71</x:v>
      </x:c>
      <x:c r="B34" s="26" t="str">
        <x:v>71A</x:v>
      </x:c>
      <x:c r="C34" s="26" t="str">
        <x:v>Physical system</x:v>
      </x:c>
      <x:c r="D34" s="26" t="str">
        <x:v>Sensor subsystem with camera, microphone, or both positioned to obtain monitored-area data</x:v>
      </x:c>
      <x:c r="E34" s="26" t="str">
        <x:v>[0061]-[0068]</x:v>
      </x:c>
      <x:c r="F34" s="26" t="str">
        <x:v>FIG. 1</x:v>
      </x:c>
      <x:c r="G34" s="26" t="str">
        <x:v>Strong</x:v>
      </x:c>
      <x:c r="H34" s="26" t="str">
        <x:v>§112(a)</x:v>
      </x:c>
      <x:c r="I34" s="26" t="str">
        <x:v>No</x:v>
      </x:c>
      <x:c r="J34" s="26" t="str">
        <x:v>Concrete structure.</x:v>
      </x:c>
      <x:c r="K34" s="28" t="n">
        <x:v>46268</x:v>
      </x:c>
    </x:row>
    <x:row r="35">
      <x:c r="A35" s="26" t="n">
        <x:v>71</x:v>
      </x:c>
      <x:c r="B35" s="26" t="str">
        <x:v>71B</x:v>
      </x:c>
      <x:c r="C35" s="26" t="str">
        <x:v>Physical system</x:v>
      </x:c>
      <x:c r="D35" s="26" t="str">
        <x:v>Processors and memory with trained ML model generating feral-pig recognition output</x:v>
      </x:c>
      <x:c r="E35" s="26" t="str">
        <x:v>[0064]-[0065]; [0080]-[0089]; [0205]-[0210]</x:v>
      </x:c>
      <x:c r="F35" s="26" t="str">
        <x:v>FIGS. 1,3</x:v>
      </x:c>
      <x:c r="G35" s="26" t="str">
        <x:v>Strong</x:v>
      </x:c>
      <x:c r="H35" s="26" t="str">
        <x:v>§112(a)/§112(f)</x:v>
      </x:c>
      <x:c r="I35" s="26" t="str">
        <x:v>No</x:v>
      </x:c>
      <x:c r="J35" s="26" t="str">
        <x:v>Structural processor/memory/model support reduces nonce-term risk.</x:v>
      </x:c>
      <x:c r="K35" s="28" t="n">
        <x:v>46268</x:v>
      </x:c>
    </x:row>
    <x:row r="36">
      <x:c r="A36" s="26" t="n">
        <x:v>71</x:v>
      </x:c>
      <x:c r="B36" s="26" t="str">
        <x:v>71C</x:v>
      </x:c>
      <x:c r="C36" s="26" t="str">
        <x:v>Physical system</x:v>
      </x:c>
      <x:c r="D36" s="26" t="str">
        <x:v>Population-control delivery assembly with receptacle/access/dispensing/treatment interface/actuator</x:v>
      </x:c>
      <x:c r="E36" s="26" t="str">
        <x:v>[0066]-[0068]; [0155]-[0162]; [0238]-[0249]</x:v>
      </x:c>
      <x:c r="F36" s="26" t="str">
        <x:v>FIGS. 1,9-10</x:v>
      </x:c>
      <x:c r="G36" s="26" t="str">
        <x:v>Strong</x:v>
      </x:c>
      <x:c r="H36" s="26" t="str">
        <x:v>§112(a)</x:v>
      </x:c>
      <x:c r="I36" s="26" t="str">
        <x:v>No</x:v>
      </x:c>
      <x:c r="J36" s="26" t="str">
        <x:v>Concrete alternatives disclosed.</x:v>
      </x:c>
      <x:c r="K36" s="28" t="n">
        <x:v>46268</x:v>
      </x:c>
    </x:row>
    <x:row r="37">
      <x:c r="A37" s="26" t="n">
        <x:v>71</x:v>
      </x:c>
      <x:c r="B37" s="26" t="str">
        <x:v>71D</x:v>
      </x:c>
      <x:c r="C37" s="26" t="str">
        <x:v>Physical system</x:v>
      </x:c>
      <x:c r="D37" s="26" t="str">
        <x:v>Controller coupled to assembly selectively enables based on recognition and authorization</x:v>
      </x:c>
      <x:c r="E37" s="26" t="str">
        <x:v>[0066]-[0068]; [0121]-[0129]; [0155]-[0162]</x:v>
      </x:c>
      <x:c r="F37" s="26" t="str">
        <x:v>FIGS. 1,8-10</x:v>
      </x:c>
      <x:c r="G37" s="26" t="str">
        <x:v>Strong</x:v>
      </x:c>
      <x:c r="H37" s="26" t="str">
        <x:v>§112(f)/functional language</x:v>
      </x:c>
      <x:c r="I37" s="26" t="str">
        <x:v>No</x:v>
      </x:c>
      <x:c r="J37" s="26" t="str">
        <x:v>Retain controller state-machine disclosure.</x:v>
      </x:c>
      <x:c r="K37" s="28" t="n">
        <x:v>46268</x:v>
      </x:c>
    </x:row>
    <x:row r="38">
      <x:c r="A38" s="26" t="n">
        <x:v>71</x:v>
      </x:c>
      <x:c r="B38" s="26" t="str">
        <x:v>71E</x:v>
      </x:c>
      <x:c r="C38" s="26" t="str">
        <x:v>Physical system</x:v>
      </x:c>
      <x:c r="D38" s="26" t="str">
        <x:v>Controller inhibits in response to non-target or fault condition</x:v>
      </x:c>
      <x:c r="E38" s="26" t="str">
        <x:v>[0163]-[0170]; [0211]-[0217]</x:v>
      </x:c>
      <x:c r="F38" s="26" t="str">
        <x:v>FIGS. 8-9</x:v>
      </x:c>
      <x:c r="G38" s="26" t="str">
        <x:v>Strong</x:v>
      </x:c>
      <x:c r="H38" s="26" t="str">
        <x:v>§112(a)/§112(b)</x:v>
      </x:c>
      <x:c r="I38" s="26" t="str">
        <x:v>No</x:v>
      </x:c>
      <x:c r="J38" s="26" t="str">
        <x:v>Concrete fault/veto list.</x:v>
      </x:c>
      <x:c r="K38" s="28" t="n">
        <x:v>46268</x:v>
      </x:c>
    </x:row>
    <x:row r="39">
      <x:c r="A39" s="26" t="n">
        <x:v>81</x:v>
      </x:c>
      <x:c r="B39" s="26" t="str">
        <x:v>81A</x:v>
      </x:c>
      <x:c r="C39" s="26" t="str">
        <x:v>AI training/configuration</x:v>
      </x:c>
      <x:c r="D39" s="26" t="str">
        <x:v>Training corpus with positive feral-pig and negative non-target examples</x:v>
      </x:c>
      <x:c r="E39" s="26" t="str">
        <x:v>[0080]-[0082]</x:v>
      </x:c>
      <x:c r="F39" s="26" t="str">
        <x:v>FIG. 3</x:v>
      </x:c>
      <x:c r="G39" s="26" t="str">
        <x:v>Strong</x:v>
      </x:c>
      <x:c r="H39" s="26" t="str">
        <x:v>§112(a)</x:v>
      </x:c>
      <x:c r="I39" s="26" t="str">
        <x:v>No</x:v>
      </x:c>
      <x:c r="J39" s="26" t="str">
        <x:v>Concrete corpus definition.</x:v>
      </x:c>
      <x:c r="K39" s="28" t="n">
        <x:v>46268</x:v>
      </x:c>
    </x:row>
    <x:row r="40">
      <x:c r="A40" s="26" t="n">
        <x:v>81</x:v>
      </x:c>
      <x:c r="B40" s="26" t="str">
        <x:v>81B</x:v>
      </x:c>
      <x:c r="C40" s="26" t="str">
        <x:v>AI training/configuration</x:v>
      </x:c>
      <x:c r="D40" s="26" t="str">
        <x:v>Train model to distinguish pigs from non-target fauna using audio/video/both</x:v>
      </x:c>
      <x:c r="E40" s="26" t="str">
        <x:v>[0069]-[0089]</x:v>
      </x:c>
      <x:c r="F40" s="26" t="str">
        <x:v>FIGS. 2-3</x:v>
      </x:c>
      <x:c r="G40" s="26" t="str">
        <x:v>Strong</x:v>
      </x:c>
      <x:c r="H40" s="26" t="str">
        <x:v>Prior art</x:v>
      </x:c>
      <x:c r="I40" s="26" t="str">
        <x:v>No</x:v>
      </x:c>
      <x:c r="J40" s="26" t="str">
        <x:v>Formal search required.</x:v>
      </x:c>
      <x:c r="K40" s="28" t="n">
        <x:v>46268</x:v>
      </x:c>
    </x:row>
    <x:row r="41">
      <x:c r="A41" s="26" t="n">
        <x:v>81</x:v>
      </x:c>
      <x:c r="B41" s="26" t="str">
        <x:v>81C</x:v>
      </x:c>
      <x:c r="C41" s="26" t="str">
        <x:v>AI training/configuration</x:v>
      </x:c>
      <x:c r="D41" s="26" t="str">
        <x:v>Evaluate/calibrate model to output feral-pig recognition plus confidence/uncertainty/non-target/unknown</x:v>
      </x:c>
      <x:c r="E41" s="26" t="str">
        <x:v>[0077]-[0079]; [0083]-[0088]</x:v>
      </x:c>
      <x:c r="F41" s="26" t="str">
        <x:v>FIGS. 2-3</x:v>
      </x:c>
      <x:c r="G41" s="26" t="str">
        <x:v>Strong</x:v>
      </x:c>
      <x:c r="H41" s="26" t="str">
        <x:v>§112(a)/§112(b)</x:v>
      </x:c>
      <x:c r="I41" s="26" t="str">
        <x:v>No</x:v>
      </x:c>
      <x:c r="J41" s="26" t="str">
        <x:v>Calibration/unknown state explicit.</x:v>
      </x:c>
      <x:c r="K41" s="28" t="n">
        <x:v>46268</x:v>
      </x:c>
    </x:row>
    <x:row r="42">
      <x:c r="A42" s="26" t="n">
        <x:v>81</x:v>
      </x:c>
      <x:c r="B42" s="26" t="str">
        <x:v>81D</x:v>
      </x:c>
      <x:c r="C42" s="26" t="str">
        <x:v>AI training/configuration</x:v>
      </x:c>
      <x:c r="D42" s="26" t="str">
        <x:v>Deploy model for selectively authorizing population-control operation</x:v>
      </x:c>
      <x:c r="E42" s="26" t="str">
        <x:v>[0084]-[0089]; [0121]-[0129]; [0209]</x:v>
      </x:c>
      <x:c r="F42" s="26" t="str">
        <x:v>FIGS. 3,8</x:v>
      </x:c>
      <x:c r="G42" s="26" t="str">
        <x:v>Strong</x:v>
      </x:c>
      <x:c r="H42" s="26" t="str">
        <x:v>Prior art</x:v>
      </x:c>
      <x:c r="I42" s="26" t="str">
        <x:v>No</x:v>
      </x:c>
      <x:c r="J42" s="26" t="str">
        <x:v>Inventor confirm local-only versus pretrained/adapted pathways for dependent scope.</x:v>
      </x:c>
      <x:c r="K42" s="28" t="n">
        <x:v>46268</x:v>
      </x:c>
    </x:row>
    <x:row r="43">
      <x:c r="A43" s="26" t="n">
        <x:v>91</x:v>
      </x:c>
      <x:c r="B43" s="26" t="str">
        <x:v>91A</x:v>
      </x:c>
      <x:c r="C43" s="26" t="str">
        <x:v>Computer-readable control logic</x:v>
      </x:c>
      <x:c r="D43" s="26" t="str">
        <x:v>Non-transitory medium/instructions executed by processor</x:v>
      </x:c>
      <x:c r="E43" s="26" t="str">
        <x:v>[0205]-[0210]</x:v>
      </x:c>
      <x:c r="F43" s="26" t="str">
        <x:v>FIGS. 1,11</x:v>
      </x:c>
      <x:c r="G43" s="26" t="str">
        <x:v>Strong</x:v>
      </x:c>
      <x:c r="H43" s="26" t="str">
        <x:v>§112(a)/§112(f)</x:v>
      </x:c>
      <x:c r="I43" s="26" t="str">
        <x:v>No</x:v>
      </x:c>
      <x:c r="J43" s="26" t="str">
        <x:v>Computer implementation concrete.</x:v>
      </x:c>
      <x:c r="K43" s="28" t="n">
        <x:v>46268</x:v>
      </x:c>
    </x:row>
    <x:row r="44">
      <x:c r="A44" s="26" t="n">
        <x:v>91</x:v>
      </x:c>
      <x:c r="B44" s="26" t="str">
        <x:v>91B</x:v>
      </x:c>
      <x:c r="C44" s="26" t="str">
        <x:v>Computer-readable control logic</x:v>
      </x:c>
      <x:c r="D44" s="26" t="str">
        <x:v>Receive audio/video data and use trained ML model to generate feral-pig recognition information</x:v>
      </x:c>
      <x:c r="E44" s="26" t="str">
        <x:v>[0069]-[0089]; [0205]-[0210]</x:v>
      </x:c>
      <x:c r="F44" s="26" t="str">
        <x:v>FIGS. 2-3</x:v>
      </x:c>
      <x:c r="G44" s="26" t="str">
        <x:v>Strong</x:v>
      </x:c>
      <x:c r="H44" s="26" t="str">
        <x:v>§112(a)</x:v>
      </x:c>
      <x:c r="I44" s="26" t="str">
        <x:v>No</x:v>
      </x:c>
      <x:c r="J44" s="26" t="str">
        <x:v>Supported.</x:v>
      </x:c>
      <x:c r="K44" s="28" t="n">
        <x:v>46268</x:v>
      </x:c>
    </x:row>
    <x:row r="45">
      <x:c r="A45" s="26" t="n">
        <x:v>91</x:v>
      </x:c>
      <x:c r="B45" s="26" t="str">
        <x:v>91C</x:v>
      </x:c>
      <x:c r="C45" s="26" t="str">
        <x:v>Computer-readable control logic</x:v>
      </x:c>
      <x:c r="D45" s="26" t="str">
        <x:v>Determine authorization condition from recognition information</x:v>
      </x:c>
      <x:c r="E45" s="26" t="str">
        <x:v>[0121]-[0129]; [0209]</x:v>
      </x:c>
      <x:c r="F45" s="26" t="str">
        <x:v>FIG. 8</x:v>
      </x:c>
      <x:c r="G45" s="26" t="str">
        <x:v>Strong</x:v>
      </x:c>
      <x:c r="H45" s="26" t="str">
        <x:v>Functional language</x:v>
      </x:c>
      <x:c r="I45" s="26" t="str">
        <x:v>No</x:v>
      </x:c>
      <x:c r="J45" s="26" t="str">
        <x:v>State/gate architecture gives boundaries.</x:v>
      </x:c>
      <x:c r="K45" s="28" t="n">
        <x:v>46268</x:v>
      </x:c>
    </x:row>
    <x:row r="46">
      <x:c r="A46" s="26" t="n">
        <x:v>91</x:v>
      </x:c>
      <x:c r="B46" s="26" t="str">
        <x:v>91D</x:v>
      </x:c>
      <x:c r="C46" s="26" t="str">
        <x:v>Computer-readable control logic</x:v>
      </x:c>
      <x:c r="D46" s="26" t="str">
        <x:v>Generate command selectively enabling population-control delivery assembly</x:v>
      </x:c>
      <x:c r="E46" s="26" t="str">
        <x:v>[0066]-[0068]; [0121]-[0129]; [0155]-[0162]; [0209]</x:v>
      </x:c>
      <x:c r="F46" s="26" t="str">
        <x:v>FIGS. 1,8-10</x:v>
      </x:c>
      <x:c r="G46" s="26" t="str">
        <x:v>Strong</x:v>
      </x:c>
      <x:c r="H46" s="26" t="str">
        <x:v>§112(f)/functional language</x:v>
      </x:c>
      <x:c r="I46" s="26" t="str">
        <x:v>No</x:v>
      </x:c>
      <x:c r="J46" s="26" t="str">
        <x:v>Controller/delivery structures identified.</x:v>
      </x:c>
      <x:c r="K46" s="28" t="n">
        <x:v>46268</x:v>
      </x:c>
    </x:row>
    <x:row r="47">
      <x:c r="A47" s="26" t="n">
        <x:v>91</x:v>
      </x:c>
      <x:c r="B47" s="26" t="str">
        <x:v>91E</x:v>
      </x:c>
      <x:c r="C47" s="26" t="str">
        <x:v>Computer-readable control logic</x:v>
      </x:c>
      <x:c r="D47" s="26" t="str">
        <x:v>Inhibit delivery on non-target/unknown/safety/fault condition</x:v>
      </x:c>
      <x:c r="E47" s="26" t="str">
        <x:v>[0163]-[0170]; [0211]-[0217]; [0222]</x:v>
      </x:c>
      <x:c r="F47" s="26" t="str">
        <x:v>FIGS. 2,8-9</x:v>
      </x:c>
      <x:c r="G47" s="26" t="str">
        <x:v>Strong</x:v>
      </x:c>
      <x:c r="H47" s="26" t="str">
        <x:v>§112(b)</x:v>
      </x:c>
      <x:c r="I47" s="26" t="str">
        <x:v>No</x:v>
      </x:c>
      <x:c r="J47" s="26" t="str">
        <x:v>Concrete veto/fault examples.</x:v>
      </x:c>
      <x:c r="K47" s="28" t="n">
        <x:v>46268</x:v>
      </x:c>
    </x:row>
    <x:row r="48">
      <x:c r="A48" s="26" t="n">
        <x:v>101</x:v>
      </x:c>
      <x:c r="B48" s="26" t="str">
        <x:v>101A</x:v>
      </x:c>
      <x:c r="C48" s="26" t="str">
        <x:v>Predetermined/specified toxicant</x:v>
      </x:c>
      <x:c r="D48" s="26" t="str">
        <x:v>Acquire audio/video and recognize feral pigs at treatment location</x:v>
      </x:c>
      <x:c r="E48" s="26" t="str">
        <x:v>[0069]-[0079]</x:v>
      </x:c>
      <x:c r="F48" s="26" t="str">
        <x:v>FIGS. 2,9</x:v>
      </x:c>
      <x:c r="G48" s="26" t="str">
        <x:v>Strong</x:v>
      </x:c>
      <x:c r="H48" s="26" t="str">
        <x:v>§112(a)</x:v>
      </x:c>
      <x:c r="I48" s="26" t="str">
        <x:v>No</x:v>
      </x:c>
      <x:c r="J48" s="26" t="str">
        <x:v>Supported.</x:v>
      </x:c>
      <x:c r="K48" s="28" t="n">
        <x:v>46268</x:v>
      </x:c>
    </x:row>
    <x:row r="49">
      <x:c r="A49" s="26" t="n">
        <x:v>101</x:v>
      </x:c>
      <x:c r="B49" s="26" t="str">
        <x:v>101B</x:v>
      </x:c>
      <x:c r="C49" s="26" t="str">
        <x:v>Predetermined/specified toxicant</x:v>
      </x:c>
      <x:c r="D49" s="26" t="str">
        <x:v>Determine treatment-authorization condition</x:v>
      </x:c>
      <x:c r="E49" s="26" t="str">
        <x:v>[0121]-[0129]</x:v>
      </x:c>
      <x:c r="F49" s="26" t="str">
        <x:v>FIG. 8</x:v>
      </x:c>
      <x:c r="G49" s="26" t="str">
        <x:v>Strong</x:v>
      </x:c>
      <x:c r="H49" s="26" t="str">
        <x:v>§112(a)</x:v>
      </x:c>
      <x:c r="I49" s="26" t="str">
        <x:v>No</x:v>
      </x:c>
      <x:c r="J49" s="26" t="str">
        <x:v>Supported.</x:v>
      </x:c>
      <x:c r="K49" s="28" t="n">
        <x:v>46268</x:v>
      </x:c>
    </x:row>
    <x:row r="50">
      <x:c r="A50" s="26" t="n">
        <x:v>101</x:v>
      </x:c>
      <x:c r="B50" s="26" t="str">
        <x:v>101C</x:v>
      </x:c>
      <x:c r="C50" s="26" t="str">
        <x:v>Predetermined/specified toxicant</x:v>
      </x:c>
      <x:c r="D50" s="26" t="str">
        <x:v>Selectively make available/administer treatment with predetermined toxic active ingredient selected before event</x:v>
      </x:c>
      <x:c r="E50" s="26" t="str">
        <x:v>[0250]-[0259]; [0155]-[0162]</x:v>
      </x:c>
      <x:c r="F50" s="26" t="str">
        <x:v>FIGS. 9-10</x:v>
      </x:c>
      <x:c r="G50" s="26" t="str">
        <x:v>Strong representative support</x:v>
      </x:c>
      <x:c r="H50" s="26" t="str">
        <x:v>§112(a)</x:v>
      </x:c>
      <x:c r="I50" s="26" t="str">
        <x:v>No</x:v>
      </x:c>
      <x:c r="J50" s="26" t="str">
        <x:v>Warfarin and sodium nitrite are concrete species.</x:v>
      </x:c>
      <x:c r="K50" s="28" t="n">
        <x:v>46268</x:v>
      </x:c>
    </x:row>
    <x:row r="51">
      <x:c r="A51" s="26" t="n">
        <x:v>101</x:v>
      </x:c>
      <x:c r="B51" s="26" t="str">
        <x:v>101D</x:v>
      </x:c>
      <x:c r="C51" s="26" t="str">
        <x:v>Predetermined/specified toxicant</x:v>
      </x:c>
      <x:c r="D51" s="26" t="str">
        <x:v>Predetermined toxicant distinct from species-selective toxicity</x:v>
      </x:c>
      <x:c r="E51" s="26" t="str">
        <x:v>[0050]-[0051]; [0146]-[0147]; [0250]-[0259]</x:v>
      </x:c>
      <x:c r="F51" s="26" t="str">
        <x:v>FIG. 10</x:v>
      </x:c>
      <x:c r="G51" s="26" t="str">
        <x:v>Strong</x:v>
      </x:c>
      <x:c r="H51" s="26" t="str">
        <x:v>§112(b)</x:v>
      </x:c>
      <x:c r="I51" s="26" t="str">
        <x:v>No</x:v>
      </x:c>
      <x:c r="J51" s="26" t="str">
        <x:v>Maintain terminology distinction.</x:v>
      </x:c>
      <x:c r="K51" s="28" t="n">
        <x:v>46268</x:v>
      </x:c>
    </x:row>
    <x:row r="52">
      <x:c r="A52" s="26" t="n">
        <x:v>111</x:v>
      </x:c>
      <x:c r="B52" s="26" t="str">
        <x:v>111A</x:v>
      </x:c>
      <x:c r="C52" s="26" t="str">
        <x:v>Generic target-animal population control</x:v>
      </x:c>
      <x:c r="D52" s="26" t="str">
        <x:v>Acquire audio/video and distinguish target animal from non-target animal/condition</x:v>
      </x:c>
      <x:c r="E52" s="26" t="str">
        <x:v>[0204]; [0266]-[0280]</x:v>
      </x:c>
      <x:c r="F52" s="26" t="str">
        <x:v>FIG. 12</x:v>
      </x:c>
      <x:c r="G52" s="26" t="str">
        <x:v>Partial/representative</x:v>
      </x:c>
      <x:c r="H52" s="26" t="str">
        <x:v>§112(a)/enablement</x:v>
      </x:c>
      <x:c r="I52" s="26" t="str">
        <x:v>Yes</x:v>
      </x:c>
      <x:c r="J52" s="26" t="str">
        <x:v>Inventor/counsel confirm representative animal classes and widest genus intent.</x:v>
      </x:c>
      <x:c r="K52" s="28" t="n">
        <x:v>46268</x:v>
      </x:c>
    </x:row>
    <x:row r="53">
      <x:c r="A53" s="26" t="n">
        <x:v>111</x:v>
      </x:c>
      <x:c r="B53" s="26" t="str">
        <x:v>111B</x:v>
      </x:c>
      <x:c r="C53" s="26" t="str">
        <x:v>Generic target-animal population control</x:v>
      </x:c>
      <x:c r="D53" s="26" t="str">
        <x:v>Selectively authorize population-control operation based on recognition</x:v>
      </x:c>
      <x:c r="E53" s="26" t="str">
        <x:v>[0204]; [0272]; [0274]-[0279]</x:v>
      </x:c>
      <x:c r="F53" s="26" t="str">
        <x:v>FIG. 12</x:v>
      </x:c>
      <x:c r="G53" s="26" t="str">
        <x:v>Partial/representative</x:v>
      </x:c>
      <x:c r="H53" s="26" t="str">
        <x:v>§112(a)</x:v>
      </x:c>
      <x:c r="I53" s="26" t="str">
        <x:v>Yes</x:v>
      </x:c>
      <x:c r="J53" s="26" t="str">
        <x:v>Shared core articulated; each animal class still requires suitable treatment adaptation.</x:v>
      </x:c>
      <x:c r="K53" s="28" t="n">
        <x:v>46268</x:v>
      </x:c>
    </x:row>
    <x:row r="54">
      <x:c r="A54" s="26" t="n">
        <x:v>111</x:v>
      </x:c>
      <x:c r="B54" s="26" t="str">
        <x:v>111C</x:v>
      </x:c>
      <x:c r="C54" s="26" t="str">
        <x:v>Generic target-animal population control</x:v>
      </x:c>
      <x:c r="D54" s="26" t="str">
        <x:v>Operation reduces survival/fertility/reproduction/growth/persistence/damaging activity</x:v>
      </x:c>
      <x:c r="E54" s="26" t="str">
        <x:v>[0049]; [0130]-[0154]; [0266]-[0280]</x:v>
      </x:c>
      <x:c r="F54" s="26" t="str">
        <x:v>FIGS. 10,12</x:v>
      </x:c>
      <x:c r="G54" s="26" t="str">
        <x:v>Broad / branch-dependent</x:v>
      </x:c>
      <x:c r="H54" s="26" t="str">
        <x:v>§112(a)/enablement</x:v>
      </x:c>
      <x:c r="I54" s="26" t="str">
        <x:v>Yes</x:v>
      </x:c>
      <x:c r="J54" s="26" t="str">
        <x:v>Avoid assuming one treatment genus is enabled for every animal class.</x:v>
      </x:c>
      <x:c r="K54" s="28" t="n">
        <x:v>46268</x:v>
      </x:c>
    </x:row>
    <x:row r="55">
      <x:c r="A55" s="26" t="n">
        <x:v>111</x:v>
      </x:c>
      <x:c r="B55" s="26" t="str">
        <x:v>111D</x:v>
      </x:c>
      <x:c r="C55" s="26" t="str">
        <x:v>Generic target-animal population control</x:v>
      </x:c>
      <x:c r="D55" s="26" t="str">
        <x:v>Inhibit on non-target or safety condition</x:v>
      </x:c>
      <x:c r="E55" s="26" t="str">
        <x:v>[0163]-[0170]; [0272]; [0274]-[0279]</x:v>
      </x:c>
      <x:c r="F55" s="26" t="str">
        <x:v>FIGS. 8,12</x:v>
      </x:c>
      <x:c r="G55" s="26" t="str">
        <x:v>Strong common-core support</x:v>
      </x:c>
      <x:c r="H55" s="26" t="str">
        <x:v>§112(a)</x:v>
      </x:c>
      <x:c r="I55" s="26" t="str">
        <x:v>No</x:v>
      </x:c>
      <x:c r="J55" s="26" t="str">
        <x:v>Safety common core supported.</x:v>
      </x:c>
      <x:c r="K55" s="28" t="n">
        <x:v>46268</x:v>
      </x:c>
    </x:row>
    <x:row r="56">
      <x:c r="A56" s="26" t="n">
        <x:v>121</x:v>
      </x:c>
      <x:c r="B56" s="26" t="str">
        <x:v>121A</x:v>
      </x:c>
      <x:c r="C56" s="26" t="str">
        <x:v>Attraction/conditioning/trough</x:v>
      </x:c>
      <x:c r="D56" s="26" t="str">
        <x:v>Provide attractant at monitored station comprising trough/feeder/receptacle/enclosure/treatment region</x:v>
      </x:c>
      <x:c r="E56" s="26" t="str">
        <x:v>[0238]-[0244]</x:v>
      </x:c>
      <x:c r="F56" s="26" t="str">
        <x:v>FIG. 9</x:v>
      </x:c>
      <x:c r="G56" s="26" t="str">
        <x:v>Strong</x:v>
      </x:c>
      <x:c r="H56" s="26" t="str">
        <x:v>§112(a)</x:v>
      </x:c>
      <x:c r="I56" s="26" t="str">
        <x:v>No</x:v>
      </x:c>
      <x:c r="J56" s="26" t="str">
        <x:v>Concrete physical station.</x:v>
      </x:c>
      <x:c r="K56" s="28" t="n">
        <x:v>46268</x:v>
      </x:c>
    </x:row>
    <x:row r="57">
      <x:c r="A57" s="26" t="n">
        <x:v>121</x:v>
      </x:c>
      <x:c r="B57" s="26" t="str">
        <x:v>121B</x:v>
      </x:c>
      <x:c r="C57" s="26" t="str">
        <x:v>Attraction/conditioning/trough</x:v>
      </x:c>
      <x:c r="D57" s="26" t="str">
        <x:v>Acquire audio/video of pigs visiting/approaching station and distinguish pigs from non-target fauna</x:v>
      </x:c>
      <x:c r="E57" s="26" t="str">
        <x:v>[0069]-[0079]; [0238]-[0243]</x:v>
      </x:c>
      <x:c r="F57" s="26" t="str">
        <x:v>FIGS. 2,9</x:v>
      </x:c>
      <x:c r="G57" s="26" t="str">
        <x:v>Strong</x:v>
      </x:c>
      <x:c r="H57" s="26" t="str">
        <x:v>§112(a)</x:v>
      </x:c>
      <x:c r="I57" s="26" t="str">
        <x:v>No</x:v>
      </x:c>
      <x:c r="J57" s="26" t="str">
        <x:v>Supported.</x:v>
      </x:c>
      <x:c r="K57" s="28" t="n">
        <x:v>46268</x:v>
      </x:c>
    </x:row>
    <x:row r="58">
      <x:c r="A58" s="26" t="n">
        <x:v>121</x:v>
      </x:c>
      <x:c r="B58" s="26" t="str">
        <x:v>121C</x:v>
      </x:c>
      <x:c r="C58" s="26" t="str">
        <x:v>Attraction/conditioning/trough</x:v>
      </x:c>
      <x:c r="D58" s="26" t="str">
        <x:v>During observation/conditioning period selectively provide feed/attractant to encourage repeated visits</x:v>
      </x:c>
      <x:c r="E58" s="26" t="str">
        <x:v>[0141]-[0144]; [0192]; [0238]-[0247]</x:v>
      </x:c>
      <x:c r="F58" s="26" t="str">
        <x:v>FIGS. 6,9-10</x:v>
      </x:c>
      <x:c r="G58" s="26" t="str">
        <x:v>Strong</x:v>
      </x:c>
      <x:c r="H58" s="26" t="str">
        <x:v>Prior art</x:v>
      </x:c>
      <x:c r="I58" s="26" t="str">
        <x:v>No</x:v>
      </x:c>
      <x:c r="J58" s="26" t="str">
        <x:v>Prebaiting/conditioning art crowded.</x:v>
      </x:c>
      <x:c r="K58" s="28" t="n">
        <x:v>46268</x:v>
      </x:c>
    </x:row>
    <x:row r="59">
      <x:c r="A59" s="26" t="n">
        <x:v>121</x:v>
      </x:c>
      <x:c r="B59" s="26" t="str">
        <x:v>121D</x:v>
      </x:c>
      <x:c r="C59" s="26" t="str">
        <x:v>Attraction/conditioning/trough</x:v>
      </x:c>
      <x:c r="D59" s="26" t="str">
        <x:v>Accumulate local-population information during conditioning</x:v>
      </x:c>
      <x:c r="E59" s="26" t="str">
        <x:v>[0102]-[0120]; [0228]-[0237]; [0239]; [0245]-[0247]</x:v>
      </x:c>
      <x:c r="F59" s="26" t="str">
        <x:v>FIGS. 4-7,9</x:v>
      </x:c>
      <x:c r="G59" s="26" t="str">
        <x:v>Strong/confirmation-gated</x:v>
      </x:c>
      <x:c r="H59" s="26" t="str">
        <x:v>§112(a)</x:v>
      </x:c>
      <x:c r="I59" s="26" t="str">
        <x:v>Yes</x:v>
      </x:c>
      <x:c r="J59" s="26" t="str">
        <x:v>Population model details inherit Claim 11 confirmation issue.</x:v>
      </x:c>
      <x:c r="K59" s="28" t="n">
        <x:v>46268</x:v>
      </x:c>
    </x:row>
    <x:row r="60">
      <x:c r="A60" s="26" t="n">
        <x:v>121</x:v>
      </x:c>
      <x:c r="B60" s="26" t="str">
        <x:v>121E</x:v>
      </x:c>
      <x:c r="C60" s="26" t="str">
        <x:v>Attraction/conditioning/trough</x:v>
      </x:c>
      <x:c r="D60" s="26" t="str">
        <x:v>After treatment-authorization condition, selectively provide/enable population-control treatment</x:v>
      </x:c>
      <x:c r="E60" s="26" t="str">
        <x:v>[0245]-[0249]; [0121]-[0129]; [0155]-[0162]</x:v>
      </x:c>
      <x:c r="F60" s="26" t="str">
        <x:v>FIGS. 8-10</x:v>
      </x:c>
      <x:c r="G60" s="26" t="str">
        <x:v>Strong</x:v>
      </x:c>
      <x:c r="H60" s="26" t="str">
        <x:v>§112(a)</x:v>
      </x:c>
      <x:c r="I60" s="26" t="str">
        <x:v>No</x:v>
      </x:c>
      <x:c r="J60" s="26" t="str">
        <x:v>Treatment branch support remains treatment-specific.</x:v>
      </x:c>
      <x:c r="K60" s="28" t="n">
        <x:v>46268</x:v>
      </x:c>
    </x:row>
    <x:row r="61">
      <x:c r="A61" s="26" t="n">
        <x:v>131</x:v>
      </x:c>
      <x:c r="B61" s="26" t="str">
        <x:v>131A</x:v>
      </x:c>
      <x:c r="C61" s="26" t="str">
        <x:v>KAPUT/warfarin named-product</x:v>
      </x:c>
      <x:c r="D61" s="26" t="str">
        <x:v>Administer warfarin bait corresponding to EPA Reg. No. 72500-26 / KAPUT® Feral Hog Bait</x:v>
      </x:c>
      <x:c r="E61" s="26" t="str">
        <x:v>[0251]-[0257]</x:v>
      </x:c>
      <x:c r="F61" s="26" t="str">
        <x:v>FIGS. 9-10</x:v>
      </x:c>
      <x:c r="G61" s="26" t="str">
        <x:v>Strong narrow technical identification</x:v>
      </x:c>
      <x:c r="H61" s="26" t="str">
        <x:v>§112(a)/trade-name definiteness</x:v>
      </x:c>
      <x:c r="I61" s="26" t="str">
        <x:v>No</x:v>
      </x:c>
      <x:c r="J61" s="26" t="str">
        <x:v>Trade name accompanied by EPA registration and active ingredient.</x:v>
      </x:c>
      <x:c r="K61" s="28" t="n">
        <x:v>46268</x:v>
      </x:c>
    </x:row>
    <x:row r="62">
      <x:c r="A62" s="26" t="n">
        <x:v>131</x:v>
      </x:c>
      <x:c r="B62" s="26" t="str">
        <x:v>131B</x:v>
      </x:c>
      <x:c r="C62" s="26" t="str">
        <x:v>KAPUT/warfarin named-product</x:v>
      </x:c>
      <x:c r="D62" s="26" t="str">
        <x:v>Monitor station using audio/video and distinguish pigs from non-target fauna</x:v>
      </x:c>
      <x:c r="E62" s="26" t="str">
        <x:v>[0069]-[0079]; [0254]-[0256]</x:v>
      </x:c>
      <x:c r="F62" s="26" t="str">
        <x:v>FIGS. 2,9</x:v>
      </x:c>
      <x:c r="G62" s="26" t="str">
        <x:v>Strong</x:v>
      </x:c>
      <x:c r="H62" s="26" t="str">
        <x:v>§112(a)</x:v>
      </x:c>
      <x:c r="I62" s="26" t="str">
        <x:v>No</x:v>
      </x:c>
      <x:c r="J62" s="26" t="str">
        <x:v>Supported.</x:v>
      </x:c>
      <x:c r="K62" s="28" t="n">
        <x:v>46268</x:v>
      </x:c>
    </x:row>
    <x:row r="63">
      <x:c r="A63" s="26" t="n">
        <x:v>131</x:v>
      </x:c>
      <x:c r="B63" s="26" t="str">
        <x:v>131C</x:v>
      </x:c>
      <x:c r="C63" s="26" t="str">
        <x:v>KAPUT/warfarin named-product</x:v>
      </x:c>
      <x:c r="D63" s="26" t="str">
        <x:v>Maintain bait restricted; selectively permit access/dispensing on treatment authorization</x:v>
      </x:c>
      <x:c r="E63" s="26" t="str">
        <x:v>[0155]-[0162]; [0254]-[0256]</x:v>
      </x:c>
      <x:c r="F63" s="26" t="str">
        <x:v>FIGS. 8-10</x:v>
      </x:c>
      <x:c r="G63" s="26" t="str">
        <x:v>Strong</x:v>
      </x:c>
      <x:c r="H63" s="26" t="str">
        <x:v>§112(a)</x:v>
      </x:c>
      <x:c r="I63" s="26" t="str">
        <x:v>No</x:v>
      </x:c>
      <x:c r="J63" s="26" t="str">
        <x:v>Physical access and timing supported.</x:v>
      </x:c>
      <x:c r="K63" s="28" t="n">
        <x:v>46268</x:v>
      </x:c>
    </x:row>
    <x:row r="64">
      <x:c r="A64" s="26" t="n">
        <x:v>131</x:v>
      </x:c>
      <x:c r="B64" s="26" t="str">
        <x:v>131D</x:v>
      </x:c>
      <x:c r="C64" s="26" t="str">
        <x:v>KAPUT/warfarin named-product</x:v>
      </x:c>
      <x:c r="D64" s="26" t="str">
        <x:v>Inhibit access/dispensing on non-target or safety condition</x:v>
      </x:c>
      <x:c r="E64" s="26" t="str">
        <x:v>[0163]-[0170]; [0256]</x:v>
      </x:c>
      <x:c r="F64" s="26" t="str">
        <x:v>FIGS. 8-9</x:v>
      </x:c>
      <x:c r="G64" s="26" t="str">
        <x:v>Strong</x:v>
      </x:c>
      <x:c r="H64" s="26" t="str">
        <x:v>§112(a)/regulatory</x:v>
      </x:c>
      <x:c r="I64" s="26" t="str">
        <x:v>No</x:v>
      </x:c>
      <x:c r="J64" s="26" t="str">
        <x:v>Current label/registration still must be reverified for deployment.</x:v>
      </x:c>
      <x:c r="K64" s="28" t="n">
        <x:v>46268</x:v>
      </x:c>
    </x:row>
    <x:row r="65">
      <x:c r="A65" s="26" t="n">
        <x:v>136</x:v>
      </x:c>
      <x:c r="B65" s="26" t="str">
        <x:v>136A</x:v>
      </x:c>
      <x:c r="C65" s="26" t="str">
        <x:v>Versioned longitudinal local-population completeness</x:v>
      </x:c>
      <x:c r="D65" s="26" t="str">
        <x:v>Plural temporally separated observation sessions at monitored population-control location</x:v>
      </x:c>
      <x:c r="E65" s="26" t="str">
        <x:v>[0102]-[0106]; [0121]-[0123]</x:v>
      </x:c>
      <x:c r="F65" s="26" t="str">
        <x:v>FIG. 6</x:v>
      </x:c>
      <x:c r="G65" s="26" t="str">
        <x:v>Strong/confirmation-gated</x:v>
      </x:c>
      <x:c r="H65" s="26" t="str">
        <x:v>§112(a)</x:v>
      </x:c>
      <x:c r="I65" s="26" t="str">
        <x:v>Yes</x:v>
      </x:c>
      <x:c r="J65" s="26" t="str">
        <x:v>Inventor-confirm intended session/observation-opportunity definition.</x:v>
      </x:c>
      <x:c r="K65" s="28" t="n">
        <x:v>46268</x:v>
      </x:c>
    </x:row>
    <x:row r="66">
      <x:c r="A66" s="26" t="n">
        <x:v>136</x:v>
      </x:c>
      <x:c r="B66" s="26" t="str">
        <x:v>136B</x:v>
      </x:c>
      <x:c r="C66" s="26" t="str">
        <x:v>Versioned longitudinal local-population completeness</x:v>
      </x:c>
      <x:c r="D66" s="26" t="str">
        <x:v>Generate identity records across sessions and maintain versioned active working population set</x:v>
      </x:c>
      <x:c r="E66" s="26" t="str">
        <x:v>[0090]-[0101]; [0124]-[0126]</x:v>
      </x:c>
      <x:c r="F66" s="26" t="str">
        <x:v>FIGS. 4-6,11</x:v>
      </x:c>
      <x:c r="G66" s="26" t="str">
        <x:v>Strong text / confirmation-gated</x:v>
      </x:c>
      <x:c r="H66" s="26" t="str">
        <x:v>§112(a)</x:v>
      </x:c>
      <x:c r="I66" s="26" t="str">
        <x:v>Yes</x:v>
      </x:c>
      <x:c r="J66" s="26" t="str">
        <x:v>Inventor-confirm identity evidence, merge/split and registry-version semantics.</x:v>
      </x:c>
      <x:c r="K66" s="28" t="n">
        <x:v>46268</x:v>
      </x:c>
    </x:row>
    <x:row r="67">
      <x:c r="A67" s="26" t="n">
        <x:v>136</x:v>
      </x:c>
      <x:c r="B67" s="26" t="str">
        <x:v>136C</x:v>
      </x:c>
      <x:c r="C67" s="26" t="str">
        <x:v>Versioned longitudinal local-population completeness</x:v>
      </x:c>
      <x:c r="D67" s="26" t="str">
        <x:v>Population-representation criterion requires qualifying coverage and stabilized discovery before current completeness</x:v>
      </x:c>
      <x:c r="E67" s="26" t="str">
        <x:v>[0102]-[0106]; [0122]-[0123]; [0127]-[0128]</x:v>
      </x:c>
      <x:c r="F67" s="26" t="str">
        <x:v>FIGS. 5-6</x:v>
      </x:c>
      <x:c r="G67" s="26" t="str">
        <x:v>Strong text / confirmation-gated</x:v>
      </x:c>
      <x:c r="H67" s="26" t="str">
        <x:v>§112(a)/§112(b)</x:v>
      </x:c>
      <x:c r="I67" s="26" t="str">
        <x:v>Yes</x:v>
      </x:c>
      <x:c r="J67" s="26" t="str">
        <x:v>Inventor-confirm stabilization and coverage rules; avoid arbitrary numeric limitations unless actually conceived.</x:v>
      </x:c>
      <x:c r="K67" s="28" t="n">
        <x:v>46268</x:v>
      </x:c>
    </x:row>
    <x:row r="68">
      <x:c r="A68" s="26" t="n">
        <x:v>136</x:v>
      </x:c>
      <x:c r="B68" s="26" t="str">
        <x:v>136D</x:v>
      </x:c>
      <x:c r="C68" s="26" t="str">
        <x:v>Versioned longitudinal local-population completeness</x:v>
      </x:c>
      <x:c r="D68" s="26" t="str">
        <x:v>One-to-one current association and unresolved-observation classification</x:v>
      </x:c>
      <x:c r="E68" s="26" t="str">
        <x:v>[0124]-[0125]; [0131]</x:v>
      </x:c>
      <x:c r="F68" s="26" t="str">
        <x:v>FIGS. 4,7</x:v>
      </x:c>
      <x:c r="G68" s="26" t="str">
        <x:v>Strong technical disclosure / confirmation-gated</x:v>
      </x:c>
      <x:c r="H68" s="26" t="str">
        <x:v>§112(a)</x:v>
      </x:c>
      <x:c r="I68" s="26" t="str">
        <x:v>Yes</x:v>
      </x:c>
      <x:c r="J68" s="26" t="str">
        <x:v>Inventor-confirm one-to-one/ambiguity handling as actual conception.</x:v>
      </x:c>
      <x:c r="K68" s="28" t="n">
        <x:v>46268</x:v>
      </x:c>
    </x:row>
    <x:row r="69">
      <x:c r="A69" s="26" t="n">
        <x:v>136</x:v>
      </x:c>
      <x:c r="B69" s="26" t="str">
        <x:v>136E</x:v>
      </x:c>
      <x:c r="C69" s="26" t="str">
        <x:v>Versioned longitudinal local-population completeness</x:v>
      </x:c>
      <x:c r="D69" s="26" t="str">
        <x:v>Exact completeness requires every required active identity matched distinctly within recency and no unresolved pig</x:v>
      </x:c>
      <x:c r="E69" s="26" t="str">
        <x:v>[0107]-[0120]; [0129]-[0131]</x:v>
      </x:c>
      <x:c r="F69" s="26" t="str">
        <x:v>FIG. 7</x:v>
      </x:c>
      <x:c r="G69" s="26" t="str">
        <x:v>Strong technical disclosure / confirmation-gated</x:v>
      </x:c>
      <x:c r="H69" s="26" t="str">
        <x:v>§112(a)/§112(b)</x:v>
      </x:c>
      <x:c r="I69" s="26" t="str">
        <x:v>Yes</x:v>
      </x:c>
      <x:c r="J69" s="26" t="str">
        <x:v>Inventor-confirm exact-completeness mode and recency treatment.</x:v>
      </x:c>
      <x:c r="K69" s="28" t="n">
        <x:v>46268</x:v>
      </x:c>
    </x:row>
    <x:row r="70">
      <x:c r="A70" s="26" t="n">
        <x:v>136</x:v>
      </x:c>
      <x:c r="B70" s="26" t="str">
        <x:v>136F</x:v>
      </x:c>
      <x:c r="C70" s="26" t="str">
        <x:v>Versioned longitudinal local-population completeness</x:v>
      </x:c>
      <x:c r="D70" s="26" t="str">
        <x:v>Authorization bound to working-set version</x:v>
      </x:c>
      <x:c r="E70" s="26" t="str">
        <x:v>[0126]; [0132]</x:v>
      </x:c>
      <x:c r="F70" s="26" t="str">
        <x:v>FIGS. 4,8,11</x:v>
      </x:c>
      <x:c r="G70" s="26" t="str">
        <x:v>New concrete support / confirmation-gated</x:v>
      </x:c>
      <x:c r="H70" s="26" t="str">
        <x:v>§112(a)</x:v>
      </x:c>
      <x:c r="I70" s="26" t="str">
        <x:v>Yes</x:v>
      </x:c>
      <x:c r="J70" s="26" t="str">
        <x:v>Inventor-confirm version-bound authorization or revise to actual control mechanism.</x:v>
      </x:c>
      <x:c r="K70" s="28" t="n">
        <x:v>46268</x:v>
      </x:c>
    </x:row>
    <x:row r="71">
      <x:c r="A71" s="26" t="n">
        <x:v>136</x:v>
      </x:c>
      <x:c r="B71" s="26" t="str">
        <x:v>136G</x:v>
      </x:c>
      <x:c r="C71" s="26" t="str">
        <x:v>Versioned longitudinal local-population completeness</x:v>
      </x:c>
      <x:c r="D71" s="26" t="str">
        <x:v>Invalidate/revoke authorization on set change, completeness failure, non-target or safety condition</x:v>
      </x:c>
      <x:c r="E71" s="26" t="str">
        <x:v>[0133]; [0163]-[0170]</x:v>
      </x:c>
      <x:c r="F71" s="26" t="str">
        <x:v>FIGS. 8-9,11</x:v>
      </x:c>
      <x:c r="G71" s="26" t="str">
        <x:v>Strong</x:v>
      </x:c>
      <x:c r="H71" s="26" t="str">
        <x:v>§112(a)/§112(b)</x:v>
      </x:c>
      <x:c r="I71" s="26" t="str">
        <x:v>No</x:v>
      </x:c>
      <x:c r="J71" s="26" t="str">
        <x:v>Retain fail-safe/revalidation support; formal prior-art charting remains.</x:v>
      </x:c>
      <x:c r="K71" s="28"/>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34" hidden="0" customWidth="1"/>
    <x:col min="2" max="2" width="28" hidden="0" customWidth="1"/>
    <x:col min="3" max="3" width="24" hidden="0" customWidth="1"/>
    <x:col min="4" max="4" width="20" hidden="0" customWidth="1"/>
    <x:col min="5" max="5" width="46" hidden="0" customWidth="1"/>
    <x:col min="6" max="6" width="46" hidden="0" customWidth="1"/>
    <x:col min="7" max="7" width="48" hidden="0" customWidth="1"/>
    <x:col min="8" max="8" width="42" hidden="0" customWidth="1"/>
    <x:col min="9" max="9" width="14" hidden="0" customWidth="1"/>
  </x:cols>
  <x:sheetData>
    <x:row r="1">
      <x:c r="A1" s="70" t="str">
        <x:v>Path / Scope</x:v>
      </x:c>
      <x:c r="B1" s="70" t="str">
        <x:v>Artifact Family</x:v>
      </x:c>
      <x:c r="C1" s="70" t="str">
        <x:v>Observed Version(s)</x:v>
      </x:c>
      <x:c r="D1" s="70" t="str">
        <x:v>Status</x:v>
      </x:c>
      <x:c r="E1" s="70" t="str">
        <x:v>Issue / Exception</x:v>
      </x:c>
      <x:c r="F1" s="70" t="str">
        <x:v>Required / Completed Action</x:v>
      </x:c>
      <x:c r="G1" s="70" t="str">
        <x:v>Canonical Rule</x:v>
      </x:c>
      <x:c r="H1" s="70" t="str">
        <x:v>OneDrive / Control Note</x:v>
      </x:c>
      <x:c r="I1" s="70" t="str">
        <x:v>Last Audited</x:v>
      </x:c>
    </x:row>
    <x:row r="2">
      <x:c r="A2" s="26" t="str">
        <x:v>Startup\claims</x:v>
      </x:c>
      <x:c r="B2" s="26" t="str">
        <x:v>ExemplaryClaims</x:v>
      </x:c>
      <x:c r="C2" s="26" t="str">
        <x:v>v0.4 archived; v0.5 active</x:v>
      </x:c>
      <x:c r="D2" s="26" t="str">
        <x:v>PASS</x:v>
      </x:c>
      <x:c r="E2" s="26" t="str">
        <x:v>Same family stem retained across revisions.</x:v>
      </x:c>
      <x:c r="F2" s="26" t="str">
        <x:v>No action.</x:v>
      </x:c>
      <x:c r="G2" s="26" t="str">
        <x:v>FeralPig_ExemplaryClaims_v&lt;major.minor&gt;_&lt;YYYYMMDD&gt;.docx</x:v>
      </x:c>
      <x:c r="H2" s="26" t="str">
        <x:v>Active v0.5; v0.4 in archive/history/claims.</x:v>
      </x:c>
      <x:c r="I2" s="28" t="n">
        <x:v>46268</x:v>
      </x:c>
    </x:row>
    <x:row r="3">
      <x:c r="A3" s="26" t="str">
        <x:v>Startup\drafts</x:v>
      </x:c>
      <x:c r="B3" s="26" t="str">
        <x:v>ProvisionalDraft</x:v>
      </x:c>
      <x:c r="C3" s="26" t="str">
        <x:v>v0.4 archived; v0.5 active</x:v>
      </x:c>
      <x:c r="D3" s="26" t="str">
        <x:v>PASS</x:v>
      </x:c>
      <x:c r="E3" s="26" t="str">
        <x:v>Same family stem retained across revisions.</x:v>
      </x:c>
      <x:c r="F3" s="26" t="str">
        <x:v>No action.</x:v>
      </x:c>
      <x:c r="G3" s="26" t="str">
        <x:v>FeralPig_ProvisionalDraft_v&lt;major.minor&gt;_&lt;YYYYMMDD&gt;.docx</x:v>
      </x:c>
      <x:c r="H3" s="26" t="str">
        <x:v>Active v0.5; v0.4 in archive/history/drafts.</x:v>
      </x:c>
      <x:c r="I3" s="28" t="n">
        <x:v>46268</x:v>
      </x:c>
    </x:row>
    <x:row r="4">
      <x:c r="A4" s="26" t="str">
        <x:v>Startup\figures</x:v>
      </x:c>
      <x:c r="B4" s="26" t="str">
        <x:v>Figures</x:v>
      </x:c>
      <x:c r="C4" s="26" t="str">
        <x:v>v0.1 archived; v0.2 active</x:v>
      </x:c>
      <x:c r="D4" s="26" t="str">
        <x:v>PASS</x:v>
      </x:c>
      <x:c r="E4" s="26" t="str">
        <x:v>Same family stem retained across revisions.</x:v>
      </x:c>
      <x:c r="F4" s="26" t="str">
        <x:v>No action.</x:v>
      </x:c>
      <x:c r="G4" s="26" t="str">
        <x:v>FeralPig_Figures_v&lt;major.minor&gt;_&lt;YYYYMMDD&gt;.pdf</x:v>
      </x:c>
      <x:c r="H4" s="26" t="str">
        <x:v>Active v0.2; v0.1 in archive/history/figures.</x:v>
      </x:c>
      <x:c r="I4" s="28" t="n">
        <x:v>46268</x:v>
      </x:c>
    </x:row>
    <x:row r="5">
      <x:c r="A5" s="26" t="str">
        <x:v>Startup\tracker</x:v>
      </x:c>
      <x:c r="B5" s="26" t="str">
        <x:v>Tracker</x:v>
      </x:c>
      <x:c r="C5" s="26" t="str">
        <x:v>v0.1 archived; v0.2 superseded; v0.3 active</x:v>
      </x:c>
      <x:c r="D5" s="26" t="str">
        <x:v>PASS</x:v>
      </x:c>
      <x:c r="E5" s="26" t="str">
        <x:v>Same family stem retained; Naming Audit and Prior Art Claim Chart added in v0.3.</x:v>
      </x:c>
      <x:c r="F5" s="26" t="str">
        <x:v>Archive v0.2 after exact live v0.3 read-back verification.</x:v>
      </x:c>
      <x:c r="G5" s="26" t="str">
        <x:v>FeralPig_Tracker_v&lt;major.minor&gt;_&lt;YYYYMMDD&gt;.xlsx</x:v>
      </x:c>
      <x:c r="H5" s="26" t="str">
        <x:v>v0.3 is the intended controlling tracker after live verification.</x:v>
      </x:c>
      <x:c r="I5" s="28" t="n">
        <x:v>46268</x:v>
      </x:c>
    </x:row>
    <x:row r="6">
      <x:c r="A6" s="26" t="str">
        <x:v>Startup\docs</x:v>
      </x:c>
      <x:c r="B6" s="26" t="str">
        <x:v>MasterControl</x:v>
      </x:c>
      <x:c r="C6" s="26" t="str">
        <x:v>v0.4 archived; v0.5 active</x:v>
      </x:c>
      <x:c r="D6" s="26" t="str">
        <x:v>PASS</x:v>
      </x:c>
      <x:c r="E6" s="26" t="str">
        <x:v>Historic long-form title normalized earlier to stable MasterControl stem.</x:v>
      </x:c>
      <x:c r="F6" s="26" t="str">
        <x:v>No action.</x:v>
      </x:c>
      <x:c r="G6" s="26" t="str">
        <x:v>FeralPig_MasterControl_v&lt;major.minor&gt;_&lt;YYYYMMDD&gt;.docx</x:v>
      </x:c>
      <x:c r="H6" s="26" t="str">
        <x:v>Use MasterControl for all future revisions.</x:v>
      </x:c>
      <x:c r="I6" s="28" t="n">
        <x:v>46268</x:v>
      </x:c>
    </x:row>
    <x:row r="7">
      <x:c r="A7" s="26" t="str">
        <x:v>Startup\docs</x:v>
      </x:c>
      <x:c r="B7" s="26" t="str">
        <x:v>StatusProtocol</x:v>
      </x:c>
      <x:c r="C7" s="26" t="str">
        <x:v>v0.4 archived; v0.5 active</x:v>
      </x:c>
      <x:c r="D7" s="26" t="str">
        <x:v>PASS</x:v>
      </x:c>
      <x:c r="E7" s="26" t="str">
        <x:v>Historic PROJECT_STATUS_AND_RESUME_PROTOCOL title normalized earlier to stable StatusProtocol stem.</x:v>
      </x:c>
      <x:c r="F7" s="26" t="str">
        <x:v>No action.</x:v>
      </x:c>
      <x:c r="G7" s="26" t="str">
        <x:v>FeralPig_StatusProtocol_v&lt;major.minor&gt;_&lt;YYYYMMDD&gt;.md</x:v>
      </x:c>
      <x:c r="H7" s="26" t="str">
        <x:v>Use StatusProtocol for all future revisions.</x:v>
      </x:c>
      <x:c r="I7" s="28" t="n">
        <x:v>46268</x:v>
      </x:c>
    </x:row>
    <x:row r="8">
      <x:c r="A8" s="26" t="str">
        <x:v>Startup\docs</x:v>
      </x:c>
      <x:c r="B8" s="26" t="str">
        <x:v>SupportFigureAudit</x:v>
      </x:c>
      <x:c r="C8" s="26" t="str">
        <x:v>v0.2 archived; v0.3 active</x:v>
      </x:c>
      <x:c r="D8" s="26" t="str">
        <x:v>PASS</x:v>
      </x:c>
      <x:c r="E8" s="26" t="str">
        <x:v>Same family stem retained across revisions.</x:v>
      </x:c>
      <x:c r="F8" s="26" t="str">
        <x:v>No action.</x:v>
      </x:c>
      <x:c r="G8" s="26" t="str">
        <x:v>FeralPig_SupportFigureAudit_v&lt;major.minor&gt;_&lt;YYYYMMDD&gt;.docx</x:v>
      </x:c>
      <x:c r="H8" s="26" t="str">
        <x:v>Active v0.3.</x:v>
      </x:c>
      <x:c r="I8" s="28" t="n">
        <x:v>46268</x:v>
      </x:c>
    </x:row>
    <x:row r="9">
      <x:c r="A9" s="26" t="str">
        <x:v>Startup\roadmap</x:v>
      </x:c>
      <x:c r="B9" s="26" t="str">
        <x:v>Roadmap</x:v>
      </x:c>
      <x:c r="C9" s="26" t="str">
        <x:v>v0.4 active</x:v>
      </x:c>
      <x:c r="D9" s="26" t="str">
        <x:v>PASS</x:v>
      </x:c>
      <x:c r="E9" s="26" t="str">
        <x:v>Naming conforms.</x:v>
      </x:c>
      <x:c r="F9" s="26" t="str">
        <x:v>No action.</x:v>
      </x:c>
      <x:c r="G9" s="26" t="str">
        <x:v>FeralPig_Roadmap_v&lt;major.minor&gt;_&lt;YYYYMMDD&gt;.pdf</x:v>
      </x:c>
      <x:c r="H9" s="26" t="str">
        <x:v>Active v0.4.</x:v>
      </x:c>
      <x:c r="I9" s="28" t="n">
        <x:v>46268</x:v>
      </x:c>
    </x:row>
    <x:row r="10">
      <x:c r="A10" s="26" t="str">
        <x:v>Startup\admin</x:v>
      </x:c>
      <x:c r="B10" s="26" t="str">
        <x:v>DocumentManifest</x:v>
      </x:c>
      <x:c r="C10" s="26" t="str">
        <x:v>v0.1 archived; v0.2 current before manifest advance</x:v>
      </x:c>
      <x:c r="D10" s="26" t="str">
        <x:v>PASS / REVISION PENDING</x:v>
      </x:c>
      <x:c r="E10" s="26" t="str">
        <x:v>v0.1 was removed from active admin; v0.2 records the pre-tracker-v0.3 canonical set.</x:v>
      </x:c>
      <x:c r="F10" s="26" t="str">
        <x:v>Create manifest v0.3 after tracker v0.3 exact-item verification; then archive v0.2.</x:v>
      </x:c>
      <x:c r="G10" s="26" t="str">
        <x:v>FeralPig_DocumentManifest_v&lt;major.minor&gt;_&lt;YYYYMMDD&gt;.md</x:v>
      </x:c>
      <x:c r="H10" s="26" t="str">
        <x:v>Only newest manifest belongs in active admin.</x:v>
      </x:c>
      <x:c r="I10" s="28" t="n">
        <x:v>46268</x:v>
      </x:c>
    </x:row>
    <x:row r="11">
      <x:c r="A11" s="26" t="str">
        <x:v>Startup\archive\generated-export</x:v>
      </x:c>
      <x:c r="B11" s="26" t="str">
        <x:v>PatentProjectTrackerDraft_ChatGPTExport</x:v>
      </x:c>
      <x:c r="C11" s="26" t="str">
        <x:v>legacy timestamped export names</x:v>
      </x:c>
      <x:c r="D11" s="26" t="str">
        <x:v>FIXED</x:v>
      </x:c>
      <x:c r="E11" s="26" t="str">
        <x:v>JSON/MD/PDF/TXT/CSV used inconsistent ChatGPT export names without project family/version syntax.</x:v>
      </x:c>
      <x:c r="F11" s="26" t="str">
        <x:v>Renamed all principal exports to one stable stem with v0.1/date.</x:v>
      </x:c>
      <x:c r="G11" s="26" t="str">
        <x:v>FeralPig_PatentProjectTrackerDraft_ChatGPTExport_v0.1_20260903.&lt;ext&gt;</x:v>
      </x:c>
      <x:c r="H11" s="26" t="str">
        <x:v>All five principal exports normalized.</x:v>
      </x:c>
      <x:c r="I11" s="28" t="n">
        <x:v>46268</x:v>
      </x:c>
    </x:row>
    <x:row r="12">
      <x:c r="A12" s="26" t="str">
        <x:v>Startup\archive\generated-export</x:v>
      </x:c>
      <x:c r="B12" s="26" t="str">
        <x:v>PatentProjectTrackerDraft_WebExportAssets</x:v>
      </x:c>
      <x:c r="C12" s="26" t="str">
        <x:v>legacy 'Startup - Patent Project Tracker Draft_files'</x:v>
      </x:c>
      <x:c r="D12" s="26" t="str">
        <x:v>FIXED / ASSET EXCEPTION</x:v>
      </x:c>
      <x:c r="E12" s="26" t="str">
        <x:v>Folder was not descriptive/versioned. Internal hashed CSS/image assets are coupled browser-export dependencies.</x:v>
      </x:c>
      <x:c r="F12" s="26" t="str">
        <x:v>Renamed enclosing folder; preserve internal dependency filenames to avoid corrupting provenance/export references.</x:v>
      </x:c>
      <x:c r="G12" s="26" t="str">
        <x:v>FeralPig_PatentProjectTrackerDraft_WebExportAssets_v0.1_20260903</x:v>
      </x:c>
      <x:c r="H12" s="26" t="str">
        <x:v>Internal browser asset names are intentionally exempt.</x:v>
      </x:c>
      <x:c r="I12" s="28" t="n">
        <x:v>46268</x:v>
      </x:c>
    </x:row>
    <x:row r="13">
      <x:c r="A13" s="26" t="str">
        <x:v>Startup\archive\generated-export</x:v>
      </x:c>
      <x:c r="B13" s="26" t="str">
        <x:v>GeneratedExportLogs</x:v>
      </x:c>
      <x:c r="C13" s="26" t="str">
        <x:v>logs</x:v>
      </x:c>
      <x:c r="D13" s="26" t="str">
        <x:v>FIXED</x:v>
      </x:c>
      <x:c r="E13" s="26" t="str">
        <x:v>Generic folder name lacked project/version/date context.</x:v>
      </x:c>
      <x:c r="F13" s="26" t="str">
        <x:v>Renamed enclosing log folder.</x:v>
      </x:c>
      <x:c r="G13" s="26" t="str">
        <x:v>FeralPig_GeneratedExportLogs_v0.1_20260903</x:v>
      </x:c>
      <x:c r="H13" s="26" t="str">
        <x:v>Contained generated-export logs remain provenance material.</x:v>
      </x:c>
      <x:c r="I13" s="28" t="n">
        <x:v>46268</x:v>
      </x:c>
    </x:row>
    <x:row r="14">
      <x:c r="A14" s="26" t="str">
        <x:v>Startup\archive</x:v>
      </x:c>
      <x:c r="B14" s="26" t="str">
        <x:v>CanonicalArchive</x:v>
      </x:c>
      <x:c r="C14" s="26" t="str">
        <x:v>Startup_Feral_Pig_Project_Canonical_v0.5_2026-09-03.zip</x:v>
      </x:c>
      <x:c r="D14" s="26" t="str">
        <x:v>FIXED</x:v>
      </x:c>
      <x:c r="E14" s="26" t="str">
        <x:v>Legacy prefix/date format differed from current convention.</x:v>
      </x:c>
      <x:c r="F14" s="26" t="str">
        <x:v>Renamed.</x:v>
      </x:c>
      <x:c r="G14" s="26" t="str">
        <x:v>FeralPig_CanonicalArchive_v0.5_20260903.zip</x:v>
      </x:c>
      <x:c r="H14" s="26" t="str">
        <x:v>Noncanonical backup/provenance.</x:v>
      </x:c>
      <x:c r="I14" s="28" t="n">
        <x:v>46268</x:v>
      </x:c>
    </x:row>
    <x:row r="15">
      <x:c r="A15" s="26" t="str">
        <x:v>Startup\archive</x:v>
      </x:c>
      <x:c r="B15" s="26" t="str">
        <x:v>OrganizedArchive</x:v>
      </x:c>
      <x:c r="C15" s="26" t="str">
        <x:v>Startup_Feral_Pig_Project_Organized_2026-09-03.zip</x:v>
      </x:c>
      <x:c r="D15" s="26" t="str">
        <x:v>FIXED</x:v>
      </x:c>
      <x:c r="E15" s="26" t="str">
        <x:v>Missing explicit version and legacy prefix/date format.</x:v>
      </x:c>
      <x:c r="F15" s="26" t="str">
        <x:v>Renamed as first organized archive revision.</x:v>
      </x:c>
      <x:c r="G15" s="26" t="str">
        <x:v>FeralPig_OrganizedArchive_v0.1_20260903.zip</x:v>
      </x:c>
      <x:c r="H15" s="26" t="str">
        <x:v>Noncanonical backup/provenance.</x:v>
      </x:c>
      <x:c r="I15" s="28" t="n">
        <x:v>46268</x:v>
      </x:c>
    </x:row>
    <x:row r="16">
      <x:c r="A16" s="26" t="str">
        <x:v>Startup\archive\history</x:v>
      </x:c>
      <x:c r="B16" s="26" t="str">
        <x:v>CopilotLog</x:v>
      </x:c>
      <x:c r="C16" s="26" t="str">
        <x:v>visual-studio-code-copilot-log.txt</x:v>
      </x:c>
      <x:c r="D16" s="26" t="str">
        <x:v>FIXED</x:v>
      </x:c>
      <x:c r="E16" s="26" t="str">
        <x:v>Root-level provenance log violated root-focus and naming rules.</x:v>
      </x:c>
      <x:c r="F16" s="26" t="str">
        <x:v>Moved to history and renamed.</x:v>
      </x:c>
      <x:c r="G16" s="26" t="str">
        <x:v>FeralPig_CopilotLog_v0.1_20260903.txt</x:v>
      </x:c>
      <x:c r="H16" s="26" t="str">
        <x:v>Not a canonical drafting artifact.</x:v>
      </x:c>
      <x:c r="I16" s="28" t="n">
        <x:v>46268</x:v>
      </x:c>
    </x:row>
    <x:row r="17">
      <x:c r="A17" s="26" t="str">
        <x:v>Startup\current_drafts</x:v>
      </x:c>
      <x:c r="B17" s="26" t="str">
        <x:v>Derivative snapshot</x:v>
      </x:c>
      <x:c r="C17" s="26" t="str">
        <x:v>mixed latest-only snapshot</x:v>
      </x:c>
      <x:c r="D17" s="26" t="str">
        <x:v>DERIVATIVE / REFRESHED</x:v>
      </x:c>
      <x:c r="E17" s="26" t="str">
        <x:v>Snapshot had stale tracker v0.2 and manifest v0.1.</x:v>
      </x:c>
      <x:c r="F17" s="26" t="str">
        <x:v>Tracker and manifest derivative copies refreshed to v0.3 after canonical write verification.</x:v>
      </x:c>
      <x:c r="G17" s="26" t="str">
        <x:v>Mirror canonical stems only; no independent revision authority.</x:v>
      </x:c>
      <x:c r="H17" s="26" t="str">
        <x:v>Convenience snapshot refreshed for changed control artifacts; remains noncanonical.</x:v>
      </x:c>
      <x:c r="I17" s="28" t="n">
        <x:v>46268</x:v>
      </x:c>
    </x:row>
    <x:row r="18">
      <x:c r="A18" s="26" t="str">
        <x:v>Startup\reference_materials</x:v>
      </x:c>
      <x:c r="B18" s="26" t="str">
        <x:v>External authoritative source files</x:v>
      </x:c>
      <x:c r="C18" s="26" t="str">
        <x:v>various</x:v>
      </x:c>
      <x:c r="D18" s="26" t="str">
        <x:v>EXEMPT</x:v>
      </x:c>
      <x:c r="E18" s="26" t="str">
        <x:v>Official-source filenames may not follow FeralPig naming.</x:v>
      </x:c>
      <x:c r="F18" s="26" t="str">
        <x:v>Preserve official/source filenames; catalog provenance in tracker.</x:v>
      </x:c>
      <x:c r="G18" s="26" t="str">
        <x:v>Project naming applies to project-authored artifacts, not immutable external-source originals.</x:v>
      </x:c>
      <x:c r="H18" s="26" t="str">
        <x:v>Reference material is non-drafting authority unless tracker cites it.</x:v>
      </x:c>
      <x:c r="I18" s="28" t="n">
        <x:v>46268</x:v>
      </x:c>
    </x:row>
    <x:row r="19">
      <x:c r="A19" s="26" t="str">
        <x:v>Startup\new_materials</x:v>
      </x:c>
      <x:c r="B19" s="26" t="str">
        <x:v>Incoming staging</x:v>
      </x:c>
      <x:c r="C19" s="26" t="str">
        <x:v>empty</x:v>
      </x:c>
      <x:c r="D19" s="26" t="str">
        <x:v>PASS / STAGING EXCEPTION</x:v>
      </x:c>
      <x:c r="E19" s="26" t="str">
        <x:v>Incoming filenames may be uncontrolled before ingestion.</x:v>
      </x:c>
      <x:c r="F19" s="26" t="str">
        <x:v>Normalize only when promoted to canonical/history; staging is not authoritative.</x:v>
      </x:c>
      <x:c r="G19" s="26" t="str">
        <x:v>No canonical status while staged.</x:v>
      </x:c>
      <x:c r="H19" s="26" t="str">
        <x:v>Folder currently empty.</x:v>
      </x:c>
      <x:c r="I19" s="28" t="n">
        <x:v>46268</x:v>
      </x:c>
    </x:row>
    <x:row r="20">
      <x:c r="A20" s="26" t="str">
        <x:v>Startup root</x:v>
      </x:c>
      <x:c r="B20" s="26" t="str">
        <x:v>.github / .vscode / README / Startup.code-workspace</x:v>
      </x:c>
      <x:c r="C20" s="26" t="str">
        <x:v>workspace infrastructure</x:v>
      </x:c>
      <x:c r="D20" s="26" t="str">
        <x:v>EXEMPT</x:v>
      </x:c>
      <x:c r="E20" s="26" t="str">
        <x:v>Workspace/tooling infrastructure is not a patent artifact family.</x:v>
      </x:c>
      <x:c r="F20" s="26" t="str">
        <x:v>Keep descriptive infrastructure names; root remains otherwise focused.</x:v>
      </x:c>
      <x:c r="G20" s="26" t="str">
        <x:v>Versioned FeralPig convention applies to substantive project artifacts.</x:v>
      </x:c>
      <x:c r="H20" s="26" t="str">
        <x:v>Do not convert tool configuration names into patent-document names.</x:v>
      </x:c>
      <x:c r="I20" s="28" t="n">
        <x:v>46268</x:v>
      </x:c>
    </x:row>
    <x:row r="21">
      <x:c r="A21" s="26" t="str">
        <x:v>Startup\archive\duplicates</x:v>
      </x:c>
      <x:c r="B21" s="26" t="str">
        <x:v>TrackerDuplicate</x:v>
      </x:c>
      <x:c r="C21" s="26" t="str">
        <x:v>legacy collision names</x:v>
      </x:c>
      <x:c r="D21" s="26" t="str">
        <x:v>FIXED</x:v>
      </x:c>
      <x:c r="E21" s="26" t="str">
        <x:v>Two duplicate tracker copies used '(2)' and timestamp-like suffixes inconsistent with naming rules.</x:v>
      </x:c>
      <x:c r="F21" s="26" t="str">
        <x:v>Renamed to explicit duplicate artifact families.</x:v>
      </x:c>
      <x:c r="G21" s="26" t="str">
        <x:v>FeralPig_TrackerDuplicate&lt;NN&gt;_v&lt;major.minor&gt;_&lt;YYYYMMDD&gt;.xlsx</x:v>
      </x:c>
      <x:c r="H21" s="26" t="str">
        <x:v>Duplicate provenance only; never controlling.</x:v>
      </x:c>
      <x:c r="I21" s="28" t="n">
        <x:v>46268</x:v>
      </x:c>
    </x:row>
    <x:row r="22">
      <x:c r="A22" s="26" t="str">
        <x:v>Startup\archive\working</x:v>
      </x:c>
      <x:c r="B22" s="26" t="str">
        <x:v>ZipExtractWorking</x:v>
      </x:c>
      <x:c r="C22" s="26" t="str">
        <x:v>zip_extract</x:v>
      </x:c>
      <x:c r="D22" s="26" t="str">
        <x:v>FIXED / PACKAGE EXCEPTION</x:v>
      </x:c>
      <x:c r="E22" s="26" t="str">
        <x:v>Working extraction container lacked project/version/date context.</x:v>
      </x:c>
      <x:c r="F22" s="26" t="str">
        <x:v>Renamed enclosing working package; preserve internal extracted names as provenance of the source package.</x:v>
      </x:c>
      <x:c r="G22" s="26" t="str">
        <x:v>FeralPig_ZipExtractWorking_v0.1_20260903</x:v>
      </x:c>
      <x:c r="H22" s="26" t="str">
        <x:v>Noncanonical temporary/provenance branch.</x:v>
      </x:c>
      <x:c r="I22" s="28" t="n">
        <x:v>46268</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9" hidden="0" customWidth="1"/>
    <x:col min="2" max="2" width="12" hidden="0" customWidth="1"/>
    <x:col min="3" max="3" width="28" hidden="0" customWidth="1"/>
    <x:col min="4" max="4" width="42" hidden="0" customWidth="1"/>
    <x:col min="5" max="5" width="34" hidden="0" customWidth="1"/>
    <x:col min="6" max="6" width="16" hidden="0" customWidth="1"/>
    <x:col min="7" max="7" width="60" hidden="0" customWidth="1"/>
    <x:col min="8" max="8" width="24" hidden="0" customWidth="1"/>
    <x:col min="9" max="9" width="32" hidden="0" customWidth="1"/>
    <x:col min="10" max="10" width="32" hidden="0" customWidth="1"/>
    <x:col min="11" max="11" width="58" hidden="0" customWidth="1"/>
    <x:col min="12" max="12" width="42" hidden="0" customWidth="1"/>
    <x:col min="13" max="13" width="48" hidden="0" customWidth="1"/>
    <x:col min="14" max="14" width="16" hidden="0" customWidth="1"/>
    <x:col min="15" max="15" width="44" hidden="0" customWidth="1"/>
    <x:col min="16" max="16" width="14" hidden="0" customWidth="1"/>
  </x:cols>
  <x:sheetData>
    <x:row r="1">
      <x:c r="A1" s="70" t="str">
        <x:v>Claim</x:v>
      </x:c>
      <x:c r="B1" s="70" t="str">
        <x:v>Limitation ID</x:v>
      </x:c>
      <x:c r="C1" s="70" t="str">
        <x:v>Independent Family</x:v>
      </x:c>
      <x:c r="D1" s="70" t="str">
        <x:v>Limitation / Concept</x:v>
      </x:c>
      <x:c r="E1" s="70" t="str">
        <x:v>Reference</x:v>
      </x:c>
      <x:c r="F1" s="70" t="str">
        <x:v>Priority Date</x:v>
      </x:c>
      <x:c r="G1" s="70" t="str">
        <x:v>Exact / Material Disclosure</x:v>
      </x:c>
      <x:c r="H1" s="70" t="str">
        <x:v>Status</x:v>
      </x:c>
      <x:c r="I1" s="70" t="str">
        <x:v>Novelty Impact</x:v>
      </x:c>
      <x:c r="J1" s="70" t="str">
        <x:v>§103 Combination Risk</x:v>
      </x:c>
      <x:c r="K1" s="70" t="str">
        <x:v>Distinguishing Feature / Current Position</x:v>
      </x:c>
      <x:c r="L1" s="70" t="str">
        <x:v>Search Query</x:v>
      </x:c>
      <x:c r="M1" s="70" t="str">
        <x:v>Source URL</x:v>
      </x:c>
      <x:c r="N1" s="70" t="str">
        <x:v>Confidence</x:v>
      </x:c>
      <x:c r="O1" s="70" t="str">
        <x:v>Action</x:v>
      </x:c>
      <x:c r="P1" s="70" t="str">
        <x:v>Last Updated</x:v>
      </x:c>
    </x:row>
    <x:row r="2">
      <x:c r="A2" s="26" t="n">
        <x:v>11</x:v>
      </x:c>
      <x:c r="B2" s="26" t="str">
        <x:v>11A</x:v>
      </x:c>
      <x:c r="C2" s="26" t="str">
        <x:v>Local-population learning/completeness</x:v>
      </x:c>
      <x:c r="D2" s="26" t="str">
        <x:v>Observation period with audio/video observations from geographic area</x:v>
      </x:c>
      <x:c r="E2" s="26" t="str">
        <x:v>US20210315186A1</x:v>
      </x:c>
      <x:c r="F2" s="26" t="str">
        <x:v>2020-04-14</x:v>
      </x:c>
      <x:c r="G2" s="26" t="str">
        <x:v>Dual acoustic/visual sensors and recognition system for target animal species, expressly including feral swine.</x:v>
      </x:c>
      <x:c r="H2" s="26" t="str">
        <x:v>DISCLOSED</x:v>
      </x:c>
      <x:c r="I2" s="26" t="str">
        <x:v>Not a novelty anchor</x:v>
      </x:c>
      <x:c r="J2" s="26" t="str">
        <x:v>High with feeder/trap references</x:v>
      </x:c>
      <x:c r="K2" s="26" t="str">
        <x:v>Retain only as environmental/context element; differentiation must come later in the population-state sequence.</x:v>
      </x:c>
      <x:c r="L2" s="26" t="str">
        <x:v>US20210315186A1 feral swine audio visual autonomous recognition</x:v>
      </x:c>
      <x:c r="M2" s="26" t="str">
        <x:v>https://patents.google.com/patent/US20210315186A1/en</x:v>
      </x:c>
      <x:c r="N2" s="26" t="str">
        <x:v>High</x:v>
      </x:c>
      <x:c r="O2" s="26" t="str">
        <x:v>Chart against claim 11 as disclosed.</x:v>
      </x:c>
      <x:c r="P2" s="28" t="n">
        <x:v>46268</x:v>
      </x:c>
    </x:row>
    <x:row r="3">
      <x:c r="A3" s="26" t="n">
        <x:v>11</x:v>
      </x:c>
      <x:c r="B3" s="26" t="str">
        <x:v>11B</x:v>
      </x:c>
      <x:c r="C3" s="26" t="str">
        <x:v>Local-population learning/completeness</x:v>
      </x:c>
      <x:c r="D3" s="26" t="str">
        <x:v>Trained ML model(s) recognize feral pigs</x:v>
      </x:c>
      <x:c r="E3" s="26" t="str">
        <x:v>US20210315186A1</x:v>
      </x:c>
      <x:c r="F3" s="26" t="str">
        <x:v>2020-04-14</x:v>
      </x:c>
      <x:c r="G3" s="26" t="str">
        <x:v>Recognition algorithms combine acoustic and visual sensing to identify target species and reject false alarms.</x:v>
      </x:c>
      <x:c r="H3" s="26" t="str">
        <x:v>DISCLOSED</x:v>
      </x:c>
      <x:c r="I3" s="26" t="str">
        <x:v>Not a novelty anchor</x:v>
      </x:c>
      <x:c r="J3" s="26" t="str">
        <x:v>High</x:v>
      </x:c>
      <x:c r="K3" s="26" t="str">
        <x:v>Generic trained species recognition is crowded.</x:v>
      </x:c>
      <x:c r="L3" s="26" t="str">
        <x:v>US20210315186A1 recognition algorithms feral swine</x:v>
      </x:c>
      <x:c r="M3" s="26" t="str">
        <x:v>https://patents.google.com/patent/US20210315186A1/en</x:v>
      </x:c>
      <x:c r="N3" s="26" t="str">
        <x:v>High</x:v>
      </x:c>
      <x:c r="O3" s="26" t="str">
        <x:v>Do not rely on generic ML recognition for novelty.</x:v>
      </x:c>
      <x:c r="P3" s="28" t="n">
        <x:v>46268</x:v>
      </x:c>
    </x:row>
    <x:row r="4">
      <x:c r="A4" s="26" t="n">
        <x:v>11</x:v>
      </x:c>
      <x:c r="B4" s="26" t="str">
        <x:v>11C</x:v>
      </x:c>
      <x:c r="C4" s="26" t="str">
        <x:v>Local-population learning/completeness</x:v>
      </x:c>
      <x:c r="D4" s="26" t="str">
        <x:v>Establish and maintain working population set from observations at different times</x:v>
      </x:c>
      <x:c r="E4" s="26" t="str">
        <x:v>US11715308B2 / WO2020076225A1</x:v>
      </x:c>
      <x:c r="F4" s="26" t="str">
        <x:v>2018-10-10</x:v>
      </x:c>
      <x:c r="G4" s="26" t="str">
        <x:v>Identifies an individual animal by comparing current imagery to stored reference data representing a population of animals with known identity.</x:v>
      </x:c>
      <x:c r="H4" s="26" t="str">
        <x:v>PARTIAL</x:v>
      </x:c>
      <x:c r="I4" s="26" t="str">
        <x:v>Individual identity is known; longitudinal discovery of an initially unknown local feral-pig population not found here.</x:v>
      </x:c>
      <x:c r="J4" s="26" t="str">
        <x:v>Medium-High in combination with feral-swine trigger art</x:v>
      </x:c>
      <x:c r="K4" s="26" t="str">
        <x:v>Current distinction is learning/maintaining the local membership set itself from repeated field observations, rather than identifying an animal within a pre-known population.</x:v>
      </x:c>
      <x:c r="L4" s="26" t="str">
        <x:v>US11715308B2 animal identity known population vision</x:v>
      </x:c>
      <x:c r="M4" s="26" t="str">
        <x:v>https://patents.google.com/patent/US11715308B2/en</x:v>
      </x:c>
      <x:c r="N4" s="26" t="str">
        <x:v>High</x:v>
      </x:c>
      <x:c r="O4" s="26" t="str">
        <x:v>Search specifically for discovery of unknown local population membership over time.</x:v>
      </x:c>
      <x:c r="P4" s="28" t="n">
        <x:v>46268</x:v>
      </x:c>
    </x:row>
    <x:row r="5">
      <x:c r="A5" s="26" t="n">
        <x:v>11</x:v>
      </x:c>
      <x:c r="B5" s="26" t="str">
        <x:v>11E</x:v>
      </x:c>
      <x:c r="C5" s="26" t="str">
        <x:v>Local-population learning/completeness</x:v>
      </x:c>
      <x:c r="D5" s="26" t="str">
        <x:v>Determine population-presence criterion from current data and working population set</x:v>
      </x:c>
      <x:c r="E5" s="26" t="str">
        <x:v>US9668467B2</x:v>
      </x:c>
      <x:c r="F5" s="26" t="str">
        <x:v>2014-04-18</x:v>
      </x:c>
      <x:c r="G5" s="26" t="str">
        <x:v>User watches live video and waits until a desired number of animals, such as a sounder of feral hogs, enters the trap before sending a drop signal.</x:v>
      </x:c>
      <x:c r="H5" s="26" t="str">
        <x:v>PARTIAL</x:v>
      </x:c>
      <x:c r="I5" s="26" t="str">
        <x:v>Whole-group intent/count concept is known; machine-maintained identity-set completeness is not shown.</x:v>
      </x:c>
      <x:c r="J5" s="26" t="str">
        <x:v>High conceptual combination risk with individual-ID art</x:v>
      </x:c>
      <x:c r="K5" s="26" t="str">
        <x:v>Differentiate automated current matching against a learned active-member set, unknown-member veto, representation readiness, recency, and revalidation.</x:v>
      </x:c>
      <x:c r="L5" s="26" t="str">
        <x:v>US9668467B2 sounder desired number feral hog video trap</x:v>
      </x:c>
      <x:c r="M5" s="26" t="str">
        <x:v>https://patents.google.com/patent/US9668467B2/en</x:v>
      </x:c>
      <x:c r="N5" s="26" t="str">
        <x:v>High</x:v>
      </x:c>
      <x:c r="O5" s="26" t="str">
        <x:v>Treat human whole-sounder observation as closest conceptual completeness art.</x:v>
      </x:c>
      <x:c r="P5" s="28" t="n">
        <x:v>46268</x:v>
      </x:c>
    </x:row>
    <x:row r="6">
      <x:c r="A6" s="26" t="n">
        <x:v>11</x:v>
      </x:c>
      <x:c r="B6" s="26" t="str">
        <x:v>11F</x:v>
      </x:c>
      <x:c r="C6" s="26" t="str">
        <x:v>Local-population learning/completeness</x:v>
      </x:c>
      <x:c r="D6" s="26" t="str">
        <x:v>After population criterion, selectively administer population-control treatment</x:v>
      </x:c>
      <x:c r="E6" s="26" t="str">
        <x:v>US20140261201A1 / US9295225B2</x:v>
      </x:c>
      <x:c r="F6" s="26" t="str">
        <x:v>2013-03-15</x:v>
      </x:c>
      <x:c r="G6" s="26" t="str">
        <x:v>Wild-boar feeder recognizes species, selectively opens access, conditions animals with non-control feed, then may provide poison or fertility-control feed to eliminate/control a local population.</x:v>
      </x:c>
      <x:c r="H6" s="26" t="str">
        <x:v>PARTIAL / COMBINATION</x:v>
      </x:c>
      <x:c r="I6" s="26" t="str">
        <x:v>Recognition-gated treatment and local-population language are known.</x:v>
      </x:c>
      <x:c r="J6" s="26" t="str">
        <x:v>High</x:v>
      </x:c>
      <x:c r="K6" s="26" t="str">
        <x:v>Current distinction must be the learned-member population criterion and associated state logic, not feeder access, conditioning, or toxicant delivery alone.</x:v>
      </x:c>
      <x:c r="L6" s="26" t="str">
        <x:v>US20140261201A1 wild boar feeder local population poison conditioning</x:v>
      </x:c>
      <x:c r="M6" s="26" t="str">
        <x:v>https://patents.google.com/patent/US20140261201A1/en</x:v>
      </x:c>
      <x:c r="N6" s="26" t="str">
        <x:v>High</x:v>
      </x:c>
      <x:c r="O6" s="26" t="str">
        <x:v>Keep feeder/conditioning features as dependent fallback, not primary novelty theory.</x:v>
      </x:c>
      <x:c r="P6" s="28" t="n">
        <x:v>46268</x:v>
      </x:c>
    </x:row>
    <x:row r="7">
      <x:c r="A7" s="26" t="n">
        <x:v>136</x:v>
      </x:c>
      <x:c r="B7" s="26" t="str">
        <x:v>136A</x:v>
      </x:c>
      <x:c r="C7" s="26" t="str">
        <x:v>Versioned longitudinal completeness</x:v>
      </x:c>
      <x:c r="D7" s="26" t="str">
        <x:v>Plural temporally separated observation sessions at monitored location</x:v>
      </x:c>
      <x:c r="E7" s="26" t="str">
        <x:v>US11715308B2 / WO2020076225A1</x:v>
      </x:c>
      <x:c r="F7" s="26" t="str">
        <x:v>2018-10-10</x:v>
      </x:c>
      <x:c r="G7" s="26" t="str">
        <x:v>Individual animal identification compares current images against reference data for a known population; repeated identification/tracking applications are contemplated.</x:v>
      </x:c>
      <x:c r="H7" s="26" t="str">
        <x:v>PARTIAL</x:v>
      </x:c>
      <x:c r="I7" s="26" t="str">
        <x:v>Temporal observation itself is not strong novelty.</x:v>
      </x:c>
      <x:c r="J7" s="26" t="str">
        <x:v>Medium</x:v>
      </x:c>
      <x:c r="K7" s="26" t="str">
        <x:v>Novelty should reside in session qualification for population discovery/completeness and treatment authorization, not merely repeated imaging.</x:v>
      </x:c>
      <x:c r="L7" s="26" t="str">
        <x:v>animal identification repeated observations known population vision patent</x:v>
      </x:c>
      <x:c r="M7" s="26" t="str">
        <x:v>https://patents.google.com/patent/US11715308B2/en</x:v>
      </x:c>
      <x:c r="N7" s="26" t="str">
        <x:v>Medium-High</x:v>
      </x:c>
      <x:c r="O7" s="26" t="str">
        <x:v>Continue search for explicit multi-session population discovery.</x:v>
      </x:c>
      <x:c r="P7" s="28" t="n">
        <x:v>46268</x:v>
      </x:c>
    </x:row>
    <x:row r="8">
      <x:c r="A8" s="26" t="n">
        <x:v>136</x:v>
      </x:c>
      <x:c r="B8" s="26" t="str">
        <x:v>136B</x:v>
      </x:c>
      <x:c r="C8" s="26" t="str">
        <x:v>Versioned longitudinal completeness</x:v>
      </x:c>
      <x:c r="D8" s="26" t="str">
        <x:v>Generate identity records across sessions and maintain versioned active working population set</x:v>
      </x:c>
      <x:c r="E8" s="26" t="str">
        <x:v>US11715308B2 / WO2020076225A1</x:v>
      </x:c>
      <x:c r="F8" s="26" t="str">
        <x:v>2018-10-10</x:v>
      </x:c>
      <x:c r="G8" s="26" t="str">
        <x:v>Stores reference data representing a known population and identifies individuals by comparison to that reference data.</x:v>
      </x:c>
      <x:c r="H8" s="26" t="str">
        <x:v>PARTIAL</x:v>
      </x:c>
      <x:c r="I8" s="26" t="str">
        <x:v>Identity records are crowded; registry versioning and learned active membership not found.</x:v>
      </x:c>
      <x:c r="J8" s="26" t="str">
        <x:v>Medium-High</x:v>
      </x:c>
      <x:c r="K8" s="26" t="str">
        <x:v>Preserve explicit versioned membership state, merge/split corrections, active/inactive states, and authorization dependence on the version.</x:v>
      </x:c>
      <x:c r="L8" s="26" t="str">
        <x:v>animal identification versioned registry population membership patent</x:v>
      </x:c>
      <x:c r="M8" s="26" t="str">
        <x:v>https://patents.google.com/patent/US11715308B2/en</x:v>
      </x:c>
      <x:c r="N8" s="26" t="str">
        <x:v>Medium</x:v>
      </x:c>
      <x:c r="O8" s="26" t="str">
        <x:v>Search registry/version invalidation art beyond animal domain.</x:v>
      </x:c>
      <x:c r="P8" s="28" t="n">
        <x:v>46268</x:v>
      </x:c>
    </x:row>
    <x:row r="9">
      <x:c r="A9" s="26" t="n">
        <x:v>136</x:v>
      </x:c>
      <x:c r="B9" s="26" t="str">
        <x:v>136C</x:v>
      </x:c>
      <x:c r="C9" s="26" t="str">
        <x:v>Versioned longitudinal completeness</x:v>
      </x:c>
      <x:c r="D9" s="26" t="str">
        <x:v>Representation-ready criterion requires qualifying coverage and stabilized discovery</x:v>
      </x:c>
      <x:c r="E9" s="26" t="str">
        <x:v>US9668467B2 + US11715308B2</x:v>
      </x:c>
      <x:c r="F9" s="26" t="str">
        <x:v>2014-04-18 / 2018-10-10</x:v>
      </x:c>
      <x:c r="G9" s="26" t="str">
        <x:v>Trap art teaches waiting for desired number/sounder; ID art teaches individual identity in known population. Neither located disclosure teaches deciding that discovery of an initially unknown local population has stabilized under qualifying observation opportunities.</x:v>
      </x:c>
      <x:c r="H9" s="26" t="str">
        <x:v>NOT FOUND IN REVIEWED REFERENCES</x:v>
      </x:c>
      <x:c r="I9" s="26" t="str">
        <x:v>Potential novelty anchor</x:v>
      </x:c>
      <x:c r="J9" s="26" t="str">
        <x:v>Medium-High obviousness risk because constituent concepts exist separately</x:v>
      </x:c>
      <x:c r="K9" s="26" t="str">
        <x:v>Two-stage distinction: first determine that the local population representation is mature/stable; only then evaluate current completeness.</x:v>
      </x:c>
      <x:c r="L9" s="26" t="str">
        <x:v>population discovery stabilization animal identity completeness treatment authorization patent</x:v>
      </x:c>
      <x:c r="M9" s="26" t="str">
        <x:v>https://patents.google.com/patent/US9668467B2/en ; https://patents.google.com/patent/US11715308B2/en</x:v>
      </x:c>
      <x:c r="N9" s="26" t="str">
        <x:v>Medium-High</x:v>
      </x:c>
      <x:c r="O9" s="26" t="str">
        <x:v>Expand search outside feral-swine field for inventory/set-completeness state machines.</x:v>
      </x:c>
      <x:c r="P9" s="28" t="n">
        <x:v>46268</x:v>
      </x:c>
    </x:row>
    <x:row r="10">
      <x:c r="A10" s="26" t="n">
        <x:v>136</x:v>
      </x:c>
      <x:c r="B10" s="26" t="str">
        <x:v>136D</x:v>
      </x:c>
      <x:c r="C10" s="26" t="str">
        <x:v>Versioned longitudinal completeness</x:v>
      </x:c>
      <x:c r="D10" s="26" t="str">
        <x:v>One-to-one current association; unresolved observation classification</x:v>
      </x:c>
      <x:c r="E10" s="26" t="str">
        <x:v>US11715308B2 / WO2020076225A1</x:v>
      </x:c>
      <x:c r="F10" s="26" t="str">
        <x:v>2018-10-10</x:v>
      </x:c>
      <x:c r="G10" s="26" t="str">
        <x:v>Individual animal identity comparison is disclosed; one-to-one conflict handling tied to a lethal/control authorization was not located.</x:v>
      </x:c>
      <x:c r="H10" s="26" t="str">
        <x:v>PARTIAL</x:v>
      </x:c>
      <x:c r="I10" s="26" t="str">
        <x:v>Identity matching itself is not novel.</x:v>
      </x:c>
      <x:c r="J10" s="26" t="str">
        <x:v>Medium</x:v>
      </x:c>
      <x:c r="K10" s="26" t="str">
        <x:v>Tie ambiguity/unresolved state to treatment inhibition and prevent one observation satisfying multiple required identities.</x:v>
      </x:c>
      <x:c r="L10" s="26" t="str">
        <x:v>one-to-one animal identity assignment ambiguity tracking patent</x:v>
      </x:c>
      <x:c r="M10" s="26" t="str">
        <x:v>https://patents.google.com/patent/US11715308B2/en</x:v>
      </x:c>
      <x:c r="N10" s="26" t="str">
        <x:v>Medium</x:v>
      </x:c>
      <x:c r="O10" s="26" t="str">
        <x:v>Search multi-object tracking identity-conflict patents for analogous assignment logic.</x:v>
      </x:c>
      <x:c r="P10" s="28" t="n">
        <x:v>46268</x:v>
      </x:c>
    </x:row>
    <x:row r="11">
      <x:c r="A11" s="26" t="n">
        <x:v>136</x:v>
      </x:c>
      <x:c r="B11" s="26" t="str">
        <x:v>136E</x:v>
      </x:c>
      <x:c r="C11" s="26" t="str">
        <x:v>Versioned longitudinal completeness</x:v>
      </x:c>
      <x:c r="D11" s="26" t="str">
        <x:v>Exact completeness: every required active identity distinctly matched within recency; no unresolved pig</x:v>
      </x:c>
      <x:c r="E11" s="26" t="str">
        <x:v>US9668467B2</x:v>
      </x:c>
      <x:c r="F11" s="26" t="str">
        <x:v>2014-04-18</x:v>
      </x:c>
      <x:c r="G11" s="26" t="str">
        <x:v>Human operator may wait until a desired number, such as a sounder, enters a trap area before actuation.</x:v>
      </x:c>
      <x:c r="H11" s="26" t="str">
        <x:v>PARTIAL</x:v>
      </x:c>
      <x:c r="I11" s="26" t="str">
        <x:v>Count/group presence concept known; identity-set exactness + unresolved veto not located.</x:v>
      </x:c>
      <x:c r="J11" s="26" t="str">
        <x:v>High conceptual combination risk</x:v>
      </x:c>
      <x:c r="K11" s="26" t="str">
        <x:v>Avoid claiming merely 'all pigs present'; claim objective learned-set matching, distinct association, recency and unresolved/new-pig veto.</x:v>
      </x:c>
      <x:c r="L11" s="26" t="str">
        <x:v>feral hog all sounder present automated identification patent</x:v>
      </x:c>
      <x:c r="M11" s="26" t="str">
        <x:v>https://patents.google.com/patent/US9668467B2/en</x:v>
      </x:c>
      <x:c r="N11" s="26" t="str">
        <x:v>High</x:v>
      </x:c>
      <x:c r="O11" s="26" t="str">
        <x:v>Search automated whole-sounder determination and group-completeness systems.</x:v>
      </x:c>
      <x:c r="P11" s="28" t="n">
        <x:v>46268</x:v>
      </x:c>
    </x:row>
    <x:row r="12">
      <x:c r="A12" s="26" t="n">
        <x:v>136</x:v>
      </x:c>
      <x:c r="B12" s="26" t="str">
        <x:v>136F</x:v>
      </x:c>
      <x:c r="C12" s="26" t="str">
        <x:v>Versioned longitudinal completeness</x:v>
      </x:c>
      <x:c r="D12" s="26" t="str">
        <x:v>Treatment authorization bound to working-population-set version</x:v>
      </x:c>
      <x:c r="E12" s="26" t="str">
        <x:v>Reviewed core references</x:v>
      </x:c>
      <x:c r="F12" s="26" t="str">
        <x:v>pre-2026</x:v>
      </x:c>
      <x:c r="G12" s="26" t="str">
        <x:v>No reviewed core reference located a treatment authorization token/state bound to a version of a learned animal-population membership set.</x:v>
      </x:c>
      <x:c r="H12" s="26" t="str">
        <x:v>NOT FOUND IN REVIEWED REFERENCES</x:v>
      </x:c>
      <x:c r="I12" s="26" t="str">
        <x:v>Potential novelty anchor</x:v>
      </x:c>
      <x:c r="J12" s="26" t="str">
        <x:v>Medium; analogous software state/version authorization art may exist</x:v>
      </x:c>
      <x:c r="K12" s="26" t="str">
        <x:v>Keep version binding concrete: registry version, criterion/model/configuration versions, treatment interface, timestamp, and invalidation rules.</x:v>
      </x:c>
      <x:c r="L12" s="26" t="str">
        <x:v>version-bound authorization registry state invalidation animal control patent</x:v>
      </x:c>
      <x:c r="M12" s="26" t="str">
        <x:v>https://patents.google.com/</x:v>
      </x:c>
      <x:c r="N12" s="26" t="str">
        <x:v>Medium</x:v>
      </x:c>
      <x:c r="O12" s="26" t="str">
        <x:v>Search adjacent autonomous-control and safety-interlock art.</x:v>
      </x:c>
      <x:c r="P12" s="28" t="n">
        <x:v>46268</x:v>
      </x:c>
    </x:row>
    <x:row r="13">
      <x:c r="A13" s="26" t="n">
        <x:v>136</x:v>
      </x:c>
      <x:c r="B13" s="26" t="str">
        <x:v>136G</x:v>
      </x:c>
      <x:c r="C13" s="26" t="str">
        <x:v>Versioned longitudinal completeness</x:v>
      </x:c>
      <x:c r="D13" s="26" t="str">
        <x:v>Invalidate authorization on set change, completeness failure, unresolved/non-target condition</x:v>
      </x:c>
      <x:c r="E13" s="26" t="str">
        <x:v>US20140261201A1 + US20210315186A1</x:v>
      </x:c>
      <x:c r="F13" s="26" t="str">
        <x:v>2013-03-15 / 2020-04-14</x:v>
      </x:c>
      <x:c r="G13" s="26" t="str">
        <x:v>Species-specific feeder and dual-sensory trigger art disclose inhibiting/controlling operation based on recognition and target/non-target state.</x:v>
      </x:c>
      <x:c r="H13" s="26" t="str">
        <x:v>PARTIAL</x:v>
      </x:c>
      <x:c r="I13" s="26" t="str">
        <x:v>Non-target gating is known; invalidation specifically because the learned population-set version or exact-completeness state changed was not located.</x:v>
      </x:c>
      <x:c r="J13" s="26" t="str">
        <x:v>Medium-High</x:v>
      </x:c>
      <x:c r="K13" s="26" t="str">
        <x:v>Novelty cannot rest on generic non-target veto; preserve state-version invalidation and repeated revalidation as the differentiating combination.</x:v>
      </x:c>
      <x:c r="L13" s="26" t="str">
        <x:v>species recognition non-target inhibit feeder autonomous trigger patent</x:v>
      </x:c>
      <x:c r="M13" s="26" t="str">
        <x:v>https://patents.google.com/patent/US20140261201A1/en ; https://patents.google.com/patent/US20210315186A1/en</x:v>
      </x:c>
      <x:c r="N13" s="26" t="str">
        <x:v>High</x:v>
      </x:c>
      <x:c r="O13" s="26" t="str">
        <x:v>Search authorization revalidation/state-version invalidation art.</x:v>
      </x:c>
      <x:c r="P13" s="28" t="n">
        <x:v>46268</x:v>
      </x:c>
    </x:row>
    <x:row r="14">
      <x:c r="A14" s="26" t="n">
        <x:v>136</x:v>
      </x:c>
      <x:c r="B14" s="26" t="str">
        <x:v>136H</x:v>
      </x:c>
      <x:c r="C14" s="26" t="str">
        <x:v>Versioned longitudinal completeness</x:v>
      </x:c>
      <x:c r="D14" s="26" t="str">
        <x:v>Recognition-gated lethal/control treatment generally</x:v>
      </x:c>
      <x:c r="E14" s="26" t="str">
        <x:v>US10368539B2 / US20160157475A1</x:v>
      </x:c>
      <x:c r="F14" s="26" t="str">
        <x:v>2013-05-09</x:v>
      </x:c>
      <x:c r="G14" s="26" t="str">
        <x:v>Camera captures target image, compares against reference images, and energizes electrodes to destroy a recognized target animal.</x:v>
      </x:c>
      <x:c r="H14" s="26" t="str">
        <x:v>DISCLOSED AT HIGH LEVEL</x:v>
      </x:c>
      <x:c r="I14" s="26" t="str">
        <x:v>Generic recognition-to-lethal-action is crowded.</x:v>
      </x:c>
      <x:c r="J14" s="26" t="str">
        <x:v>High</x:v>
      </x:c>
      <x:c r="K14" s="26" t="str">
        <x:v>Do not rely on video recognition + lethal means alone; local-population state architecture must carry the differentiation.</x:v>
      </x:c>
      <x:c r="L14" s="26" t="str">
        <x:v>US10368539B2 species specific extermination image recognition electrodes</x:v>
      </x:c>
      <x:c r="M14" s="26" t="str">
        <x:v>https://patents.google.com/patent/US10368539B2/en</x:v>
      </x:c>
      <x:c r="N14" s="26" t="str">
        <x:v>High</x:v>
      </x:c>
      <x:c r="O14" s="26" t="str">
        <x:v>Keep broad Claim 1 as platform probe but expect serious prior-art pressure.</x:v>
      </x:c>
      <x:c r="P14" s="28" t="n">
        <x:v>46268</x:v>
      </x:c>
    </x:row>
    <x:row r="15">
      <x:c r="A15" s="26" t="n">
        <x:v>1</x:v>
      </x:c>
      <x:c r="B15" s="26" t="str">
        <x:v>1A</x:v>
      </x:c>
      <x:c r="C15" s="26" t="str">
        <x:v>General recognition-gated population control</x:v>
      </x:c>
      <x:c r="D15" s="26" t="str">
        <x:v>Acquire audio data, video data, or both from monitored area</x:v>
      </x:c>
      <x:c r="E15" s="26" t="str">
        <x:v>US20210315186A1</x:v>
      </x:c>
      <x:c r="F15" s="26" t="str">
        <x:v>2020-04-14</x:v>
      </x:c>
      <x:c r="G15" s="26" t="str">
        <x:v>Dual acoustic and visual sensing at a deployed wildlife-management location is expressly disclosed.</x:v>
      </x:c>
      <x:c r="H15" s="26" t="str">
        <x:v>DISCLOSED</x:v>
      </x:c>
      <x:c r="I15" s="26" t="str">
        <x:v>Not a novelty anchor</x:v>
      </x:c>
      <x:c r="J15" s="26" t="str">
        <x:v>High</x:v>
      </x:c>
      <x:c r="K15" s="26" t="str">
        <x:v>Treat sensing modality as platform context only.</x:v>
      </x:c>
      <x:c r="L15" s="26" t="str">
        <x:v>US20210315186A1 acoustic visual sensors wildlife management</x:v>
      </x:c>
      <x:c r="M15" s="26" t="str">
        <x:v>https://patents.google.com/patent/US20210315186A1/en</x:v>
      </x:c>
      <x:c r="N15" s="26" t="str">
        <x:v>High</x:v>
      </x:c>
      <x:c r="O15" s="26" t="str">
        <x:v>Do not rely on audio/video acquisition for novelty.</x:v>
      </x:c>
      <x:c r="P15" s="28" t="n">
        <x:v>46268</x:v>
      </x:c>
    </x:row>
    <x:row r="16">
      <x:c r="A16" s="26" t="n">
        <x:v>1</x:v>
      </x:c>
      <x:c r="B16" s="26" t="str">
        <x:v>1B</x:v>
      </x:c>
      <x:c r="C16" s="26" t="str">
        <x:v>General recognition-gated population control</x:v>
      </x:c>
      <x:c r="D16" s="26" t="str">
        <x:v>Recognition technology determines feral pigs are present</x:v>
      </x:c>
      <x:c r="E16" s="26" t="str">
        <x:v>US20210315186A1</x:v>
      </x:c>
      <x:c r="F16" s="26" t="str">
        <x:v>2020-04-14</x:v>
      </x:c>
      <x:c r="G16" s="26" t="str">
        <x:v>Autonomous species-specific recognition uses acoustic/visual sensors and recognition algorithms; feral swine are a contemplated target.</x:v>
      </x:c>
      <x:c r="H16" s="26" t="str">
        <x:v>DISCLOSED</x:v>
      </x:c>
      <x:c r="I16" s="26" t="str">
        <x:v>Not a novelty anchor</x:v>
      </x:c>
      <x:c r="J16" s="26" t="str">
        <x:v>High</x:v>
      </x:c>
      <x:c r="K16" s="26" t="str">
        <x:v>Generic species recognition is crowded.</x:v>
      </x:c>
      <x:c r="L16" s="26" t="str">
        <x:v>US20210315186A1 feral swine species recognition algorithms</x:v>
      </x:c>
      <x:c r="M16" s="26" t="str">
        <x:v>https://patents.google.com/patent/US20210315186A1/en</x:v>
      </x:c>
      <x:c r="N16" s="26" t="str">
        <x:v>High</x:v>
      </x:c>
      <x:c r="O16" s="26" t="str">
        <x:v>Retain breadth as platform probe; expect prior-art pressure.</x:v>
      </x:c>
      <x:c r="P16" s="28" t="n">
        <x:v>46268</x:v>
      </x:c>
    </x:row>
    <x:row r="17">
      <x:c r="A17" s="26" t="n">
        <x:v>1</x:v>
      </x:c>
      <x:c r="B17" s="26" t="str">
        <x:v>1C</x:v>
      </x:c>
      <x:c r="C17" s="26" t="str">
        <x:v>General recognition-gated population control</x:v>
      </x:c>
      <x:c r="D17" s="26" t="str">
        <x:v>Selectively authorize population-control treatment based on recognition</x:v>
      </x:c>
      <x:c r="E17" s="26" t="str">
        <x:v>US20210315186A1</x:v>
      </x:c>
      <x:c r="F17" s="26" t="str">
        <x:v>2020-04-14</x:v>
      </x:c>
      <x:c r="G17" s="26" t="str">
        <x:v>Recognition system activates wildlife-management devices delivering toxicants, contraceptives, feed or trapping actions for selected species.</x:v>
      </x:c>
      <x:c r="H17" s="26" t="str">
        <x:v>DISCLOSED AT HIGH LEVEL</x:v>
      </x:c>
      <x:c r="I17" s="26" t="str">
        <x:v>Broad authorization concept crowded</x:v>
      </x:c>
      <x:c r="J17" s="26" t="str">
        <x:v>High</x:v>
      </x:c>
      <x:c r="K17" s="26" t="str">
        <x:v>Differentiation must add population-state, identity, timing/access architecture, or another concrete limitation.</x:v>
      </x:c>
      <x:c r="L17" s="26" t="str">
        <x:v>US20210315186A1 toxicants contraceptives activate selected species</x:v>
      </x:c>
      <x:c r="M17" s="26" t="str">
        <x:v>https://patents.google.com/patent/US20210315186A1/en</x:v>
      </x:c>
      <x:c r="N17" s="26" t="str">
        <x:v>High</x:v>
      </x:c>
      <x:c r="O17" s="26" t="str">
        <x:v>Do not rely on recognition-triggered treatment alone.</x:v>
      </x:c>
      <x:c r="P17" s="28" t="n">
        <x:v>46268</x:v>
      </x:c>
    </x:row>
    <x:row r="18">
      <x:c r="A18" s="26" t="n">
        <x:v>1</x:v>
      </x:c>
      <x:c r="B18" s="26" t="str">
        <x:v>1D</x:v>
      </x:c>
      <x:c r="C18" s="26" t="str">
        <x:v>General recognition-gated population control</x:v>
      </x:c>
      <x:c r="D18" s="26" t="str">
        <x:v>Treatment reduces survival/fertility/reproductive success/population persistence</x:v>
      </x:c>
      <x:c r="E18" s="26" t="str">
        <x:v>US20140261201A1 / US10292363B2</x:v>
      </x:c>
      <x:c r="F18" s="26" t="str">
        <x:v>2013-03-15</x:v>
      </x:c>
      <x:c r="G18" s="26" t="str">
        <x:v>Species-specific feeder expressly contemplates poison to kill wild boar and fertility-inhibiting feed to control/eliminate a local population.</x:v>
      </x:c>
      <x:c r="H18" s="26" t="str">
        <x:v>DISCLOSED</x:v>
      </x:c>
      <x:c r="I18" s="26" t="str">
        <x:v>Treatment-result genus materially crowded</x:v>
      </x:c>
      <x:c r="J18" s="26" t="str">
        <x:v>High</x:v>
      </x:c>
      <x:c r="K18" s="26" t="str">
        <x:v>Preserve treatment branches for support but not as primary novelty theory.</x:v>
      </x:c>
      <x:c r="L18" s="26" t="str">
        <x:v>wild boar feeder poison fertility local population patent</x:v>
      </x:c>
      <x:c r="M18" s="26" t="str">
        <x:v>https://patents.google.com/patent/US20140261201A1/en</x:v>
      </x:c>
      <x:c r="N18" s="26" t="str">
        <x:v>High</x:v>
      </x:c>
      <x:c r="O18" s="26" t="str">
        <x:v>Chart narrower treatment embodiments separately.</x:v>
      </x:c>
      <x:c r="P18" s="28" t="n">
        <x:v>46268</x:v>
      </x:c>
    </x:row>
    <x:row r="19">
      <x:c r="A19" s="26" t="n">
        <x:v>1</x:v>
      </x:c>
      <x:c r="B19" s="26" t="str">
        <x:v>1E</x:v>
      </x:c>
      <x:c r="C19" s="26" t="str">
        <x:v>General recognition-gated population control</x:v>
      </x:c>
      <x:c r="D19" s="26" t="str">
        <x:v>Inhibit treatment when non-target condition detected</x:v>
      </x:c>
      <x:c r="E19" s="26" t="str">
        <x:v>US20140261201A1 + US20210315186A1</x:v>
      </x:c>
      <x:c r="F19" s="26" t="str">
        <x:v>2013-03-15 / 2020-04-14</x:v>
      </x:c>
      <x:c r="G19" s="26" t="str">
        <x:v>Both references use species recognition to prevent or avoid operation for non-selected species / false alarms.</x:v>
      </x:c>
      <x:c r="H19" s="26" t="str">
        <x:v>DISCLOSED AT HIGH LEVEL</x:v>
      </x:c>
      <x:c r="I19" s="26" t="str">
        <x:v>Generic non-target veto crowded</x:v>
      </x:c>
      <x:c r="J19" s="26" t="str">
        <x:v>High</x:v>
      </x:c>
      <x:c r="K19" s="26" t="str">
        <x:v>Novelty cannot rest on generic non-target inhibition; retain unknown/identity-set and state-version veto details.</x:v>
      </x:c>
      <x:c r="L19" s="26" t="str">
        <x:v>species recognition non target feeder false alarm patent</x:v>
      </x:c>
      <x:c r="M19" s="26" t="str">
        <x:v>https://patents.google.com/patent/US20140261201A1/en ; https://patents.google.com/patent/US20210315186A1/en</x:v>
      </x:c>
      <x:c r="N19" s="26" t="str">
        <x:v>High</x:v>
      </x:c>
      <x:c r="O19" s="26" t="str">
        <x:v>Use as safety limitation, not primary novelty anchor.</x:v>
      </x:c>
      <x:c r="P19" s="28" t="n">
        <x:v>46268</x:v>
      </x:c>
    </x:row>
    <x:row r="20">
      <x:c r="A20" s="26" t="n">
        <x:v>21</x:v>
      </x:c>
      <x:c r="B20" s="26" t="str">
        <x:v>21A</x:v>
      </x:c>
      <x:c r="C20" s="26" t="str">
        <x:v>General toxicant selective exposure</x:v>
      </x:c>
      <x:c r="D20" s="26" t="str">
        <x:v>Monitor toxicant access region with audio/video</x:v>
      </x:c>
      <x:c r="E20" s="26" t="str">
        <x:v>US20140261201A1 / US10292363B2</x:v>
      </x:c>
      <x:c r="F20" s="26" t="str">
        <x:v>2013-03-15</x:v>
      </x:c>
      <x:c r="G20" s="26" t="str">
        <x:v>Wild-boar feeder uses sound/video recognition at the feeder/access region.</x:v>
      </x:c>
      <x:c r="H20" s="26" t="str">
        <x:v>DISCLOSED</x:v>
      </x:c>
      <x:c r="I20" s="26" t="str">
        <x:v>Not a novelty anchor</x:v>
      </x:c>
      <x:c r="J20" s="26" t="str">
        <x:v>High</x:v>
      </x:c>
      <x:c r="K20" s="26" t="str">
        <x:v>Monitoring station is crowded.</x:v>
      </x:c>
      <x:c r="L20" s="26" t="str">
        <x:v>species specific feeder sound video wild boar</x:v>
      </x:c>
      <x:c r="M20" s="26" t="str">
        <x:v>https://patents.google.com/patent/US20140261201A1/en</x:v>
      </x:c>
      <x:c r="N20" s="26" t="str">
        <x:v>High</x:v>
      </x:c>
      <x:c r="O20" s="26" t="str">
        <x:v>Treat as context.</x:v>
      </x:c>
      <x:c r="P20" s="28" t="n">
        <x:v>46268</x:v>
      </x:c>
    </x:row>
    <x:row r="21">
      <x:c r="A21" s="26" t="n">
        <x:v>21</x:v>
      </x:c>
      <x:c r="B21" s="26" t="str">
        <x:v>21B</x:v>
      </x:c>
      <x:c r="C21" s="26" t="str">
        <x:v>General toxicant selective exposure</x:v>
      </x:c>
      <x:c r="D21" s="26" t="str">
        <x:v>Recognition distinguishes feral pigs from non-target animals</x:v>
      </x:c>
      <x:c r="E21" s="26" t="str">
        <x:v>US20140261201A1 / US10292363B2</x:v>
      </x:c>
      <x:c r="F21" s="26" t="str">
        <x:v>2013-03-15</x:v>
      </x:c>
      <x:c r="G21" s="26" t="str">
        <x:v>Sound/video logic recognizes wild boar and withholds feeder-access response for non-selected species.</x:v>
      </x:c>
      <x:c r="H21" s="26" t="str">
        <x:v>DISCLOSED</x:v>
      </x:c>
      <x:c r="I21" s="26" t="str">
        <x:v>Not a novelty anchor</x:v>
      </x:c>
      <x:c r="J21" s="26" t="str">
        <x:v>High</x:v>
      </x:c>
      <x:c r="K21" s="26" t="str">
        <x:v>Species recognition at feeder is expressly taught.</x:v>
      </x:c>
      <x:c r="L21" s="26" t="str">
        <x:v>US20140261201A1 sound video recognize wild boar non selected species</x:v>
      </x:c>
      <x:c r="M21" s="26" t="str">
        <x:v>https://patents.google.com/patent/US20140261201A1/en</x:v>
      </x:c>
      <x:c r="N21" s="26" t="str">
        <x:v>High</x:v>
      </x:c>
      <x:c r="O21" s="26" t="str">
        <x:v>Do not rely on feeder recognition alone.</x:v>
      </x:c>
      <x:c r="P21" s="28" t="n">
        <x:v>46268</x:v>
      </x:c>
    </x:row>
    <x:row r="22">
      <x:c r="A22" s="26" t="n">
        <x:v>21</x:v>
      </x:c>
      <x:c r="B22" s="26" t="str">
        <x:v>21C</x:v>
      </x:c>
      <x:c r="C22" s="26" t="str">
        <x:v>General toxicant selective exposure</x:v>
      </x:c>
      <x:c r="D22" s="26" t="str">
        <x:v>Maintain generally toxic agent in restricted-access state</x:v>
      </x:c>
      <x:c r="E22" s="26" t="str">
        <x:v>US20140261201A1 / US10292363B2</x:v>
      </x:c>
      <x:c r="F22" s="26" t="str">
        <x:v>2013-03-15</x:v>
      </x:c>
      <x:c r="G22" s="26" t="str">
        <x:v>Feeder uses closed feed doors and species-specific protections controlling access to feed; poison may later be added.</x:v>
      </x:c>
      <x:c r="H22" s="26" t="str">
        <x:v>SUBSTANTIALLY DISCLOSED</x:v>
      </x:c>
      <x:c r="I22" s="26" t="str">
        <x:v>Restricted-access toxicant concept crowded</x:v>
      </x:c>
      <x:c r="J22" s="26" t="str">
        <x:v>High</x:v>
      </x:c>
      <x:c r="K22" s="26" t="str">
        <x:v>Need stronger state/population condition than simple species-triggered door control.</x:v>
      </x:c>
      <x:c r="L22" s="26" t="str">
        <x:v>wild boar feeder closed feed doors poison access</x:v>
      </x:c>
      <x:c r="M22" s="26" t="str">
        <x:v>https://patents.google.com/patent/US10292363B2/en</x:v>
      </x:c>
      <x:c r="N22" s="26" t="str">
        <x:v>High</x:v>
      </x:c>
      <x:c r="O22" s="26" t="str">
        <x:v>Treat as close prior art.</x:v>
      </x:c>
      <x:c r="P22" s="28" t="n">
        <x:v>46268</x:v>
      </x:c>
    </x:row>
    <x:row r="23">
      <x:c r="A23" s="26" t="n">
        <x:v>21</x:v>
      </x:c>
      <x:c r="B23" s="26" t="str">
        <x:v>21D</x:v>
      </x:c>
      <x:c r="C23" s="26" t="str">
        <x:v>General toxicant selective exposure</x:v>
      </x:c>
      <x:c r="D23" s="26" t="str">
        <x:v>After authorization, transition access/dispensing device to permit toxicant exposure</x:v>
      </x:c>
      <x:c r="E23" s="26" t="str">
        <x:v>US20140261201A1 / US10292363B2</x:v>
      </x:c>
      <x:c r="F23" s="26" t="str">
        <x:v>2013-03-15</x:v>
      </x:c>
      <x:c r="G23" s="26" t="str">
        <x:v>Recognition of wild boar causes PLC signals that open feed doors and disable deterrent; population-control composition may be in feed.</x:v>
      </x:c>
      <x:c r="H23" s="26" t="str">
        <x:v>SUBSTANTIALLY DISCLOSED</x:v>
      </x:c>
      <x:c r="I23" s="26" t="str">
        <x:v>Core access transition crowded</x:v>
      </x:c>
      <x:c r="J23" s="26" t="str">
        <x:v>High</x:v>
      </x:c>
      <x:c r="K23" s="26" t="str">
        <x:v>Differentiate authorization as learned-population completeness/version state rather than species recognition alone.</x:v>
      </x:c>
      <x:c r="L23" s="26" t="str">
        <x:v>wild boar recognition open feed doors poison PLC</x:v>
      </x:c>
      <x:c r="M23" s="26" t="str">
        <x:v>https://patents.google.com/patent/US10292363B2/en</x:v>
      </x:c>
      <x:c r="N23" s="26" t="str">
        <x:v>High</x:v>
      </x:c>
      <x:c r="O23" s="26" t="str">
        <x:v>Pair Claim 21 with Claims 25-26/136-type population-state limitations.</x:v>
      </x:c>
      <x:c r="P23" s="28" t="n">
        <x:v>46268</x:v>
      </x:c>
    </x:row>
    <x:row r="24">
      <x:c r="A24" s="26" t="n">
        <x:v>21</x:v>
      </x:c>
      <x:c r="B24" s="26" t="str">
        <x:v>21E</x:v>
      </x:c>
      <x:c r="C24" s="26" t="str">
        <x:v>General toxicant selective exposure</x:v>
      </x:c>
      <x:c r="D24" s="26" t="str">
        <x:v>Return access/dispensing device to restricted state after interval or non-target condition</x:v>
      </x:c>
      <x:c r="E24" s="26" t="str">
        <x:v>US10292363B2</x:v>
      </x:c>
      <x:c r="F24" s="26" t="str">
        <x:v>2013-03-15</x:v>
      </x:c>
      <x:c r="G24" s="26" t="str">
        <x:v>Feed doors close and deterrent is re-enabled after a predetermined period with no wild-boar detection.</x:v>
      </x:c>
      <x:c r="H24" s="26" t="str">
        <x:v>DISCLOSED / CLOSE</x:v>
      </x:c>
      <x:c r="I24" s="26" t="str">
        <x:v>Timing-based reclosure crowded</x:v>
      </x:c>
      <x:c r="J24" s="26" t="str">
        <x:v>High</x:v>
      </x:c>
      <x:c r="K24" s="26" t="str">
        <x:v>Revalidation based on exact learned-member completeness and registry-version change remains more distinctive than elapsed/no-detection timing.</x:v>
      </x:c>
      <x:c r="L24" s="26" t="str">
        <x:v>species specific feeder predetermined period close doors wild boar</x:v>
      </x:c>
      <x:c r="M24" s="26" t="str">
        <x:v>https://patents.google.com/patent/US10292363B2/en</x:v>
      </x:c>
      <x:c r="N24" s="26" t="str">
        <x:v>High</x:v>
      </x:c>
      <x:c r="O24" s="26" t="str">
        <x:v>Avoid relying on timeout/reclosure alone.</x:v>
      </x:c>
      <x:c r="P24" s="28" t="n">
        <x:v>46268</x:v>
      </x:c>
    </x:row>
    <x:row r="25">
      <x:c r="A25" s="26" t="n">
        <x:v>21</x:v>
      </x:c>
      <x:c r="B25" s="26" t="str">
        <x:v>21F</x:v>
      </x:c>
      <x:c r="C25" s="26" t="str">
        <x:v>General toxicant selective exposure</x:v>
      </x:c>
      <x:c r="D25" s="26" t="str">
        <x:v>Toxicant lethal to feral pigs and need not be inherently species selective</x:v>
      </x:c>
      <x:c r="E25" s="26" t="str">
        <x:v>US20140261201A1 / US10292363B2</x:v>
      </x:c>
      <x:c r="F25" s="26" t="str">
        <x:v>2013-03-15</x:v>
      </x:c>
      <x:c r="G25" s="26" t="str">
        <x:v>Reference identifies population-control poisons such as sodium nitrite and describes species selectivity supplied by feeder protections/access.</x:v>
      </x:c>
      <x:c r="H25" s="26" t="str">
        <x:v>SUBSTANTIALLY DISCLOSED</x:v>
      </x:c>
      <x:c r="I25" s="26" t="str">
        <x:v>General toxicant + selective access crowded</x:v>
      </x:c>
      <x:c r="J25" s="26" t="str">
        <x:v>High</x:v>
      </x:c>
      <x:c r="K25" s="26" t="str">
        <x:v>Primary differentiation must lie in who/when population-state authorization permits access, not intrinsic toxicology.</x:v>
      </x:c>
      <x:c r="L25" s="26" t="str">
        <x:v>wild boar general poison species specific feeder sodium nitrite</x:v>
      </x:c>
      <x:c r="M25" s="26" t="str">
        <x:v>https://patents.google.com/patent/US20140261201A1/en</x:v>
      </x:c>
      <x:c r="N25" s="26" t="str">
        <x:v>High</x:v>
      </x:c>
      <x:c r="O25" s="26" t="str">
        <x:v>Keep concrete toxicants as enablement species, not novelty assumption.</x:v>
      </x:c>
      <x:c r="P25" s="28" t="n">
        <x:v>46268</x:v>
      </x:c>
    </x:row>
    <x:row r="26">
      <x:c r="A26" s="26" t="n">
        <x:v>121</x:v>
      </x:c>
      <x:c r="B26" s="26" t="str">
        <x:v>121A</x:v>
      </x:c>
      <x:c r="C26" s="26" t="str">
        <x:v>Attraction/conditioning + selective station</x:v>
      </x:c>
      <x:c r="D26" s="26" t="str">
        <x:v>Provide attractant at monitored trough/feeder/treatment station</x:v>
      </x:c>
      <x:c r="E26" s="26" t="str">
        <x:v>US20140261201A1 / US10292363B2</x:v>
      </x:c>
      <x:c r="F26" s="26" t="str">
        <x:v>2013-03-15</x:v>
      </x:c>
      <x:c r="G26" s="26" t="str">
        <x:v>Species-specific feeder presents feed to wild boar at the feeder and is designed for population control.</x:v>
      </x:c>
      <x:c r="H26" s="26" t="str">
        <x:v>DISCLOSED</x:v>
      </x:c>
      <x:c r="I26" s="26" t="str">
        <x:v>Not a novelty anchor</x:v>
      </x:c>
      <x:c r="J26" s="26" t="str">
        <x:v>High</x:v>
      </x:c>
      <x:c r="K26" s="26" t="str">
        <x:v>Trough/feeder/attractant alone is crowded.</x:v>
      </x:c>
      <x:c r="L26" s="26" t="str">
        <x:v>wild boar feeder attract feed population control patent</x:v>
      </x:c>
      <x:c r="M26" s="26" t="str">
        <x:v>https://patents.google.com/patent/US10292363B2/en</x:v>
      </x:c>
      <x:c r="N26" s="26" t="str">
        <x:v>High</x:v>
      </x:c>
      <x:c r="O26" s="26" t="str">
        <x:v>Retain structural fallback only.</x:v>
      </x:c>
      <x:c r="P26" s="28" t="n">
        <x:v>46268</x:v>
      </x:c>
    </x:row>
    <x:row r="27">
      <x:c r="A27" s="26" t="n">
        <x:v>121</x:v>
      </x:c>
      <x:c r="B27" s="26" t="str">
        <x:v>121B</x:v>
      </x:c>
      <x:c r="C27" s="26" t="str">
        <x:v>Attraction/conditioning + selective station</x:v>
      </x:c>
      <x:c r="D27" s="26" t="str">
        <x:v>Acquire and process audio/video to distinguish pigs from non-target fauna at station</x:v>
      </x:c>
      <x:c r="E27" s="26" t="str">
        <x:v>US20140261201A1 / US10292363B2</x:v>
      </x:c>
      <x:c r="F27" s="26" t="str">
        <x:v>2013-03-15</x:v>
      </x:c>
      <x:c r="G27" s="26" t="str">
        <x:v>Sound/video card and PLC recognize wild boar at the feeder and distinguish non-selected species.</x:v>
      </x:c>
      <x:c r="H27" s="26" t="str">
        <x:v>DISCLOSED</x:v>
      </x:c>
      <x:c r="I27" s="26" t="str">
        <x:v>Not a novelty anchor</x:v>
      </x:c>
      <x:c r="J27" s="26" t="str">
        <x:v>High</x:v>
      </x:c>
      <x:c r="K27" s="26" t="str">
        <x:v>Recognition at station is expressly taught.</x:v>
      </x:c>
      <x:c r="L27" s="26" t="str">
        <x:v>species specific feeder sound video card PLC wild boar</x:v>
      </x:c>
      <x:c r="M27" s="26" t="str">
        <x:v>https://patents.google.com/patent/US10292363B2/en</x:v>
      </x:c>
      <x:c r="N27" s="26" t="str">
        <x:v>High</x:v>
      </x:c>
      <x:c r="O27" s="26" t="str">
        <x:v>Do not rely on station recognition alone.</x:v>
      </x:c>
      <x:c r="P27" s="28" t="n">
        <x:v>46268</x:v>
      </x:c>
    </x:row>
    <x:row r="28">
      <x:c r="A28" s="26" t="n">
        <x:v>121</x:v>
      </x:c>
      <x:c r="B28" s="26" t="str">
        <x:v>121C</x:v>
      </x:c>
      <x:c r="C28" s="26" t="str">
        <x:v>Attraction/conditioning + selective station</x:v>
      </x:c>
      <x:c r="D28" s="26" t="str">
        <x:v>During observation/conditioning period provide feed/attractant to encourage repeated visits</x:v>
      </x:c>
      <x:c r="E28" s="26" t="str">
        <x:v>US20140261201A1 / US10292363B2</x:v>
      </x:c>
      <x:c r="F28" s="26" t="str">
        <x:v>2013-03-15</x:v>
      </x:c>
      <x:c r="G28" s="26" t="str">
        <x:v>Wild boar are expressly allowed to feed on non-control feed so the population becomes accustomed/acclimated to the feeder.</x:v>
      </x:c>
      <x:c r="H28" s="26" t="str">
        <x:v>DISCLOSED</x:v>
      </x:c>
      <x:c r="I28" s="26" t="str">
        <x:v>Conditioning/prebait concept expressly crowded</x:v>
      </x:c>
      <x:c r="J28" s="26" t="str">
        <x:v>Very High</x:v>
      </x:c>
      <x:c r="K28" s="26" t="str">
        <x:v>Any patentable distinction must add population-learning criteria, identity-state logic, or a different concrete conditioning/control sequence.</x:v>
      </x:c>
      <x:c r="L28" s="26" t="str">
        <x:v>wild boar acclimated accustomed feeder conditioning feed patent</x:v>
      </x:c>
      <x:c r="M28" s="26" t="str">
        <x:v>https://patents.google.com/patent/US20140261201A1/en</x:v>
      </x:c>
      <x:c r="N28" s="26" t="str">
        <x:v>High</x:v>
      </x:c>
      <x:c r="O28" s="26" t="str">
        <x:v>Treat Claim 124/128-style prebait transition as high-risk prior art.</x:v>
      </x:c>
      <x:c r="P28" s="28" t="n">
        <x:v>46268</x:v>
      </x:c>
    </x:row>
    <x:row r="29">
      <x:c r="A29" s="26" t="n">
        <x:v>121</x:v>
      </x:c>
      <x:c r="B29" s="26" t="str">
        <x:v>121D</x:v>
      </x:c>
      <x:c r="C29" s="26" t="str">
        <x:v>Attraction/conditioning + selective station</x:v>
      </x:c>
      <x:c r="D29" s="26" t="str">
        <x:v>After treatment-authorization condition, provide/enable population-control treatment</x:v>
      </x:c>
      <x:c r="E29" s="26" t="str">
        <x:v>US20140261201A1 / US10292363B2</x:v>
      </x:c>
      <x:c r="F29" s="26" t="str">
        <x:v>2013-03-15</x:v>
      </x:c>
      <x:c r="G29" s="26" t="str">
        <x:v>After acclimation, a population-control composition may be added; poison can kill feeding wild boar or fertility-inhibiting feed can control the population.</x:v>
      </x:c>
      <x:c r="H29" s="26" t="str">
        <x:v>DISCLOSED AT HIGH LEVEL</x:v>
      </x:c>
      <x:c r="I29" s="26" t="str">
        <x:v>Conditioning→treatment transition crowded</x:v>
      </x:c>
      <x:c r="J29" s="26" t="str">
        <x:v>Very High</x:v>
      </x:c>
      <x:c r="K29" s="26" t="str">
        <x:v>Authorization must be narrower than mere acclimation completion—e.g., learned-set representation/completeness and version-bound safety state.</x:v>
      </x:c>
      <x:c r="L29" s="26" t="str">
        <x:v>wild boar after acclimation population control composition poison feeder</x:v>
      </x:c>
      <x:c r="M29" s="26" t="str">
        <x:v>https://patents.google.com/patent/US20140261201A1/en</x:v>
      </x:c>
      <x:c r="N29" s="26" t="str">
        <x:v>High</x:v>
      </x:c>
      <x:c r="O29" s="26" t="str">
        <x:v>Recast novelty emphasis toward Claims 129-130 and 136-type state logic.</x:v>
      </x:c>
      <x:c r="P29" s="28" t="n">
        <x:v>46268</x:v>
      </x:c>
    </x:row>
    <x:row r="30">
      <x:c r="A30" s="26" t="n">
        <x:v>121</x:v>
      </x:c>
      <x:c r="B30" s="26" t="str">
        <x:v>121E</x:v>
      </x:c>
      <x:c r="C30" s="26" t="str">
        <x:v>Attraction/conditioning + selective station</x:v>
      </x:c>
      <x:c r="D30" s="26" t="str">
        <x:v>Local-population learning / population-state gate at station</x:v>
      </x:c>
      <x:c r="E30" s="26" t="str">
        <x:v>US20140261201A1 + US9668467B2 + US11715308B2</x:v>
      </x:c>
      <x:c r="F30" s="26" t="str">
        <x:v>2013-03-15 / 2014-04-18 / 2018-10-10</x:v>
      </x:c>
      <x:c r="G30" s="26" t="str">
        <x:v>References separately teach local-population control by feeder, waiting for a desired number/sounder before trap actuation, and identifying individuals within a known population; reviewed material does not disclose the full learned-membership completeness state machine at the conditioning station.</x:v>
      </x:c>
      <x:c r="H30" s="26" t="str">
        <x:v>NOT FOUND AS FULL COMBINATION</x:v>
      </x:c>
      <x:c r="I30" s="26" t="str">
        <x:v>Potential remaining differentiation</x:v>
      </x:c>
      <x:c r="J30" s="26" t="str">
        <x:v>High §103 combination risk</x:v>
      </x:c>
      <x:c r="K30" s="26" t="str">
        <x:v>Focus Claims 129-130 on machine-learned local membership, representation readiness, exact current matching, unresolved-pig veto, and version-bound authorization.</x:v>
      </x:c>
      <x:c r="L30" s="26" t="str">
        <x:v>local population learned membership conditioning feeder completeness patent</x:v>
      </x:c>
      <x:c r="M30" s="26" t="str">
        <x:v>https://patents.google.com/patent/US20140261201A1/en ; https://patents.google.com/patent/US9668467B2/en ; https://patents.google.com/patent/US11715308B2/en</x:v>
      </x:c>
      <x:c r="N30" s="26" t="str">
        <x:v>Medium-High</x:v>
      </x:c>
      <x:c r="O30" s="26" t="str">
        <x:v>Expand search for automated whole-group identity completeness at bait/feeder stations.</x:v>
      </x:c>
      <x:c r="P30" s="28" t="n">
        <x:v>46268</x:v>
      </x:c>
    </x:row>
  </x:sheetData>
  <x:pageMargins left="0.7" right="0.7" top="0.75" bottom="0.75" header="0.3" footer="0.3"/>
</x:worksheet>
</file>