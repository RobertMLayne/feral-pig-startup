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b6171966146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b7bc643c234c8b"/>
    <x:sheet xmlns:r="http://schemas.openxmlformats.org/officeDocument/2006/relationships" name="Claim Inventory" sheetId="2" r:id="R0f243978c9554c8b"/>
    <x:sheet xmlns:r="http://schemas.openxmlformats.org/officeDocument/2006/relationships" name="Task Register" sheetId="3" r:id="R58ec4172c7e74625"/>
    <x:sheet xmlns:r="http://schemas.openxmlformats.org/officeDocument/2006/relationships" name="Risk Register" sheetId="4" r:id="R087db76a0587493d"/>
    <x:sheet xmlns:r="http://schemas.openxmlformats.org/officeDocument/2006/relationships" name="Source Inventory" sheetId="5" r:id="R225eddd3b324442a"/>
    <x:sheet xmlns:r="http://schemas.openxmlformats.org/officeDocument/2006/relationships" name="MPEP Update Register" sheetId="6" r:id="R6c9c8ec7e8524dce"/>
    <x:sheet xmlns:r="http://schemas.openxmlformats.org/officeDocument/2006/relationships" name="Business Skeleton" sheetId="7" r:id="Red7b7564c071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dxfs count="6">
    <x:dxf>
      <x:fill>
        <x:patternFill>
          <x:bgColor rgb="FFC6EFCE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dbd8f337674880" /><Relationship Type="http://schemas.openxmlformats.org/officeDocument/2006/relationships/theme" Target="/xl/theme/theme1.xml" Id="R8ccedc4471344a75" /><Relationship Type="http://schemas.openxmlformats.org/officeDocument/2006/relationships/sharedStrings" Target="/xl/sharedStrings.xml" Id="Rb500c868aeca4aa3" /><Relationship Type="http://schemas.openxmlformats.org/officeDocument/2006/relationships/worksheet" Target="/xl/worksheets/sheet1.xml" Id="R1ab7bc643c234c8b" /><Relationship Type="http://schemas.openxmlformats.org/officeDocument/2006/relationships/worksheet" Target="/xl/worksheets/sheet2.xml" Id="R0f243978c9554c8b" /><Relationship Type="http://schemas.openxmlformats.org/officeDocument/2006/relationships/worksheet" Target="/xl/worksheets/sheet3.xml" Id="R58ec4172c7e74625" /><Relationship Type="http://schemas.openxmlformats.org/officeDocument/2006/relationships/worksheet" Target="/xl/worksheets/sheet4.xml" Id="R087db76a0587493d" /><Relationship Type="http://schemas.openxmlformats.org/officeDocument/2006/relationships/worksheet" Target="/xl/worksheets/sheet5.xml" Id="R225eddd3b324442a" /><Relationship Type="http://schemas.openxmlformats.org/officeDocument/2006/relationships/worksheet" Target="/xl/worksheets/sheet6.xml" Id="R6c9c8ec7e8524dce" /><Relationship Type="http://schemas.openxmlformats.org/officeDocument/2006/relationships/worksheet" Target="/xl/worksheets/sheet7.xml" Id="Red7b7564c07149b4" /></Relationships>
</file>

<file path=xl/tables/table1.xml><?xml version="1.0" encoding="utf-8"?>
<x:table xmlns:x="http://schemas.openxmlformats.org/spreadsheetml/2006/main" id="1" name="ClaimInventoryTable" displayName="ClaimInventoryTable" ref="A1:I21" headerRowCount="1" totalsRowCount="0" totalsRowShown="0">
  <x:tableColumns count="9">
    <x:tableColumn id="1" name="claim #"/>
    <x:tableColumn id="2" name="set #"/>
    <x:tableColumn id="3" name="independent/dependent"/>
    <x:tableColumn id="4" name="parent claim"/>
    <x:tableColumn id="5" name="scope summary"/>
    <x:tableColumn id="6" name="full claim language"/>
    <x:tableColumn id="7" name="status"/>
    <x:tableColumn id="8" name="risk flags"/>
    <x:tableColumn id="9" name="last-updated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RegisterTable" displayName="TaskRegisterTable" ref="A1:K28" headerRowCount="1" totalsRowCount="0" totalsRowShown="0">
  <x:tableColumns count="11">
    <x:tableColumn id="1" name="ID"/>
    <x:tableColumn id="2" name="Workstream"/>
    <x:tableColumn id="3" name="Task"/>
    <x:tableColumn id="4" name="Deliverable / acceptance criterion"/>
    <x:tableColumn id="5" name="Owner"/>
    <x:tableColumn id="6" name="Status"/>
    <x:tableColumn id="7" name="Priority"/>
    <x:tableColumn id="8" name="Horizon"/>
    <x:tableColumn id="9" name="Dependency"/>
    <x:tableColumn id="10" name="Risk / note"/>
    <x:tableColumn id="11" name="Last updat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RegisterTable" displayName="RiskRegisterTable" ref="A1:I11" headerRowCount="1" totalsRowCount="0" totalsRowShown="0">
  <x:tableColumns count="9">
    <x:tableColumn id="1" name="Risk ID"/>
    <x:tableColumn id="2" name="Category"/>
    <x:tableColumn id="3" name="Description"/>
    <x:tableColumn id="4" name="Affected artifact/claim"/>
    <x:tableColumn id="5" name="Mitigation / evidence needed"/>
    <x:tableColumn id="6" name="Blocking"/>
    <x:tableColumn id="7" name="Status"/>
    <x:tableColumn id="8" name="Owner"/>
    <x:tableColumn id="9" name="Last updat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InventoryTable" displayName="SourceInventoryTable" ref="A1:I8" headerRowCount="1" totalsRowCount="0" totalsRowShown="0">
  <x:tableColumns count="9">
    <x:tableColumn id="1" name="Source ID"/>
    <x:tableColumn id="2" name="Type"/>
    <x:tableColumn id="3" name="Title / description"/>
    <x:tableColumn id="4" name="Date"/>
    <x:tableColumn id="5" name="Primary/secondary"/>
    <x:tableColumn id="6" name="Key relevance"/>
    <x:tableColumn id="7" name="Action"/>
    <x:tableColumn id="8" name="Status"/>
    <x:tableColumn id="9" name="Source / path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PEPUpdateTable" displayName="MPEPUpdateTable" ref="A1:H30" headerRowCount="1" totalsRowCount="0" totalsRowShown="0">
  <x:tableColumns count="8">
    <x:tableColumn id="1" name="Date"/>
    <x:tableColumn id="2" name="Category"/>
    <x:tableColumn id="3" name="Authority / title"/>
    <x:tableColumn id="4" name="Citation / type"/>
    <x:tableColumn id="5" name="Effective / applicable"/>
    <x:tableColumn id="6" name="Status relative to MPEP"/>
    <x:tableColumn id="7" name="Project relevance"/>
    <x:tableColumn id="8" name="Official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usinessSkeletonTable" displayName="BusinessSkeletonTable" ref="A1:E11" headerRowCount="1" totalsRowCount="0" totalsRowShown="0">
  <x:tableColumns count="5">
    <x:tableColumn id="1" name="Block"/>
    <x:tableColumn id="2" name="Questions to resolve"/>
    <x:tableColumn id="3" name="Evidence / output"/>
    <x:tableColumn id="4" name="Status"/>
    <x:tableColumn id="5" name="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2c25c3956d46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eab47c950c4a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eda15b0fcd4a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b721adc7e242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3bc53a4eb447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024153d6cb42ad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4" hidden="0" customWidth="1"/>
    <x:col min="3" max="3" width="35" hidden="0" customWidth="1"/>
    <x:col min="5" max="5" width="25" hidden="0" customWidth="1"/>
    <x:col min="6" max="6" width="14" hidden="0" customWidth="1"/>
    <x:col min="7" max="7" width="45" hidden="0" customWidth="1"/>
    <x:col min="8" max="8" width="48" hidden="0" customWidth="1"/>
  </x:cols>
  <x:sheetData>
    <x:row r="1">
      <x:c r="A1" s="5" t="str">
        <x:v>Feral Pig / Pest-Control Patent &amp; Business Buildout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Project control baseline - 2026-09-03</x:v>
      </x:c>
      <x:c r="B2" s="12"/>
      <x:c r="C2" s="12"/>
      <x:c r="D2" s="12"/>
      <x:c r="E2" s="12"/>
      <x:c r="F2" s="12"/>
      <x:c r="G2" s="12"/>
      <x:c r="H2" s="12"/>
    </x:row>
    <x:row r="4">
      <x:c r="A4" s="20" t="str">
        <x:v>Metric</x:v>
      </x:c>
      <x:c r="B4" s="20" t="str">
        <x:v>Value</x:v>
      </x:c>
      <x:c r="C4" s="20" t="str">
        <x:v>Definition / gate</x:v>
      </x:c>
      <x:c r="E4" s="20" t="str">
        <x:v>Current Gate</x:v>
      </x:c>
      <x:c r="F4" s="20" t="str">
        <x:v>State</x:v>
      </x:c>
      <x:c r="G4" s="20" t="str">
        <x:v>Reason</x:v>
      </x:c>
      <x:c r="H4" s="20" t="str">
        <x:v>Required next evidence</x:v>
      </x:c>
    </x:row>
    <x:row r="5">
      <x:c r="A5" t="str">
        <x:v>Set 1 claims drafted</x:v>
      </x:c>
      <x:c r="B5" t="n">
        <x:f>COUNTIF('Claim Inventory'!G2:G21,"drafted")+COUNTIF('Claim Inventory'!G2:G21,"under review")+COUNTIF('Claim Inventory'!G2:G21,"attorney-reviewed")+COUNTIF('Claim Inventory'!G2:G21,"final")</x:f>
        <x:v>2</x:v>
      </x:c>
      <x:c r="C5" t="str">
        <x:v>Rows in Claim Inventory with status = drafted/under review/attorney-reviewed/final</x:v>
      </x:c>
      <x:c r="E5" s="26" t="str">
        <x:v>Provisional filing</x:v>
      </x:c>
      <x:c r="F5" s="26" t="str">
        <x:v>NOT READY</x:v>
      </x:c>
      <x:c r="G5" s="26" t="str">
        <x:v>Known enablement/written-description gaps remain</x:v>
      </x:c>
      <x:c r="H5" s="26" t="str">
        <x:v>Concrete recognition, population-membership, actuation and safety disclosure + attorney review</x:v>
      </x:c>
    </x:row>
    <x:row r="6">
      <x:c r="A6" t="str">
        <x:v>Set 1 independent claims drafted</x:v>
      </x:c>
      <x:c r="B6" t="n">
        <x:f>COUNTIFS('Claim Inventory'!C2:C21,"independent",'Claim Inventory'!G2:G21,"&lt;&gt;")</x:f>
        <x:v>2</x:v>
      </x:c>
      <x:c r="C6" t="str">
        <x:v>Target = 3</x:v>
      </x:c>
      <x:c r="E6" s="26" t="str">
        <x:v>Set 1 complete</x:v>
      </x:c>
      <x:c r="F6" s="26" t="str">
        <x:v>NO</x:v>
      </x:c>
      <x:c r="G6" s="26" t="str">
        <x:v>Only Claims 1 and 20 logged as drafted</x:v>
      </x:c>
      <x:c r="H6" s="26" t="str">
        <x:v>Mid-scope independent + 17 dependents + dependency/risk review</x:v>
      </x:c>
    </x:row>
    <x:row r="7">
      <x:c r="A7" t="str">
        <x:v>Set 1 dependent claims drafted</x:v>
      </x:c>
      <x:c r="B7" t="n">
        <x:f>COUNTIFS('Claim Inventory'!C2:C21,"dependent",'Claim Inventory'!G2:G21,"&lt;&gt;")</x:f>
        <x:v>0</x:v>
      </x:c>
      <x:c r="C7" t="str">
        <x:v>Target = 17</x:v>
      </x:c>
      <x:c r="E7" s="26" t="str">
        <x:v>Set 2</x:v>
      </x:c>
      <x:c r="F7" s="26" t="str">
        <x:v>LOCKED</x:v>
      </x:c>
      <x:c r="G7" s="26" t="str">
        <x:v>Set 1 incomplete; no written distinct-invention justification</x:v>
      </x:c>
      <x:c r="H7" s="26" t="str">
        <x:v>Do not begin</x:v>
      </x:c>
    </x:row>
    <x:row r="8">
      <x:c r="A8" t="str">
        <x:v>Set 1 claim slots reserved</x:v>
      </x:c>
      <x:c r="B8" t="n">
        <x:f>COUNTIF('Claim Inventory'!A2:A21,"&gt;0")</x:f>
        <x:v>20</x:v>
      </x:c>
      <x:c r="C8" t="str">
        <x:v>Target = 20</x:v>
      </x:c>
      <x:c r="E8" s="26" t="str">
        <x:v>External technical disclosure</x:v>
      </x:c>
      <x:c r="F8" s="26" t="str">
        <x:v>LOCKED</x:v>
      </x:c>
      <x:c r="G8" s="26" t="str">
        <x:v>Public-disclosure/IP risk</x:v>
      </x:c>
      <x:c r="H8" s="26" t="str">
        <x:v>NDA or filing first</x:v>
      </x:c>
    </x:row>
    <x:row r="9">
      <x:c r="A9" t="str">
        <x:v>Blocking risks open</x:v>
      </x:c>
      <x:c r="B9" t="n">
        <x:f>COUNTIFS('Risk Register'!F2:F100,"Yes",'Risk Register'!G2:G100,"&lt;&gt;Resolved")</x:f>
        <x:v>11</x:v>
      </x:c>
      <x:c r="C9" t="str">
        <x:v>Any risk register row marked Blocking = Yes and Status != Resolved</x:v>
      </x:c>
      <x:c r="E9" s="26" t="str">
        <x:v>Pilot deployment</x:v>
      </x:c>
      <x:c r="F9" s="26" t="str">
        <x:v>NOT READY</x:v>
      </x:c>
      <x:c r="G9" s="26" t="str">
        <x:v>Regulatory path not mapped</x:v>
      </x:c>
      <x:c r="H9" s="26" t="str">
        <x:v>EPA/state/wildlife/operator approvals and safety protocol</x:v>
      </x:c>
    </x:row>
    <x:row r="10">
      <x:c r="A10" t="str">
        <x:v>Near-term tasks complete</x:v>
      </x:c>
      <x:c r="B10" t="n">
        <x:f>COUNTIFS('Task Register'!H2:H100,"1-week",'Task Register'!F2:F100,"Complete")</x:f>
        <x:v>5</x:v>
      </x:c>
      <x:c r="C10" t="str">
        <x:v>Tasks due in 1-week horizon with Status = Complete</x:v>
      </x:c>
      <x:c r="E10" s="26" t="str">
        <x:v>Prior-art confidence</x:v>
      </x:c>
      <x:c r="F10" s="26" t="str">
        <x:v>LOW</x:v>
      </x:c>
      <x:c r="G10" s="26" t="str">
        <x:v>Transcript contains direct technical overlap clues; formal search pending</x:v>
      </x:c>
      <x:c r="H10" s="26" t="str">
        <x:v>Primary-source tracing + Patent Public Search/Google Patents/professional search</x:v>
      </x:c>
    </x:row>
    <x:row r="11">
      <x:c r="A11" t="str">
        <x:v>MPEP update authorities indexed</x:v>
      </x:c>
      <x:c r="B11" t="n">
        <x:f>COUNTA('MPEP Update Register'!A2:A100)</x:f>
        <x:v>29</x:v>
      </x:c>
      <x:c r="C11" t="str">
        <x:v>Official post-2024 authorities catalogued in MPEP Update Register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0" hidden="0" customWidth="1"/>
    <x:col min="4" max="4" width="13" hidden="0" customWidth="1"/>
    <x:col min="5" max="5" width="28" hidden="0" customWidth="1"/>
    <x:col min="6" max="6" width="58" hidden="0" customWidth="1"/>
    <x:col min="7" max="7" width="18" hidden="0" customWidth="1"/>
    <x:col min="8" max="8" width="48" hidden="0" customWidth="1"/>
    <x:col min="9" max="9" width="16" hidden="0" customWidth="1"/>
  </x:cols>
  <x:sheetData>
    <x:row r="1">
      <x:c r="A1" s="20" t="str">
        <x:v>claim #</x:v>
      </x:c>
      <x:c r="B1" s="20" t="str">
        <x:v>set #</x:v>
      </x:c>
      <x:c r="C1" s="20" t="str">
        <x:v>independent/dependent</x:v>
      </x:c>
      <x:c r="D1" s="20" t="str">
        <x:v>parent claim</x:v>
      </x:c>
      <x:c r="E1" s="20" t="str">
        <x:v>scope summary</x:v>
      </x:c>
      <x:c r="F1" s="20" t="str">
        <x:v>full claim language</x:v>
      </x:c>
      <x:c r="G1" s="20" t="str">
        <x:v>status</x:v>
      </x:c>
      <x:c r="H1" s="20" t="str">
        <x:v>risk flags</x:v>
      </x:c>
      <x:c r="I1" s="20" t="str">
        <x:v>last-updated date</x:v>
      </x:c>
    </x:row>
    <x:row r="2">
      <x:c r="A2" s="26" t="n">
        <x:v>1</x:v>
      </x:c>
      <x:c r="B2" s="26" t="n">
        <x:v>1</x:v>
      </x:c>
      <x:c r="C2" s="26" t="str">
        <x:v>independent</x:v>
      </x:c>
      <x:c r="D2" s="26" t="str"/>
      <x:c r="E2" s="26" t="str">
        <x:v>Broad pest identification + lethal action</x:v>
      </x:c>
      <x:c r="F2" s="26" t="str">
        <x:v>A method of killing a pest by: identifying a pest using video recognition technology; and using a lethal means to kill the pest.</x:v>
      </x:c>
      <x:c r="G2" s="26" t="str">
        <x:v>drafted</x:v>
      </x:c>
      <x:c r="H2" s="26" t="str">
        <x:v>112(f); 112(b); written-description gap; enablement gap; prior-art risk; restriction risk; regulatory/deployment issue</x:v>
      </x:c>
      <x:c r="I2" s="28" t="n">
        <x:v>46268</x:v>
      </x:c>
    </x:row>
    <x:row r="3">
      <x:c r="A3" s="26" t="n">
        <x:v>2</x:v>
      </x:c>
      <x:c r="B3" s="26" t="n">
        <x:v>1</x:v>
      </x:c>
      <x:c r="C3" s="26" t="str"/>
      <x:c r="D3" s="26" t="str"/>
      <x:c r="E3" s="26" t="str"/>
      <x:c r="F3" s="26" t="str"/>
      <x:c r="G3" s="26" t="str"/>
      <x:c r="H3" s="26" t="str"/>
      <x:c r="I3" s="28" t="str"/>
    </x:row>
    <x:row r="4">
      <x:c r="A4" s="26" t="n">
        <x:v>3</x:v>
      </x:c>
      <x:c r="B4" s="26" t="n">
        <x:v>1</x:v>
      </x:c>
      <x:c r="C4" s="26" t="str"/>
      <x:c r="D4" s="26" t="str"/>
      <x:c r="E4" s="26" t="str"/>
      <x:c r="F4" s="26" t="str"/>
      <x:c r="G4" s="26" t="str"/>
      <x:c r="H4" s="26" t="str"/>
      <x:c r="I4" s="28" t="str"/>
    </x:row>
    <x:row r="5">
      <x:c r="A5" s="26" t="n">
        <x:v>4</x:v>
      </x:c>
      <x:c r="B5" s="26" t="n">
        <x:v>1</x:v>
      </x:c>
      <x:c r="C5" s="26" t="str"/>
      <x:c r="D5" s="26" t="str"/>
      <x:c r="E5" s="26" t="str"/>
      <x:c r="F5" s="26" t="str"/>
      <x:c r="G5" s="26" t="str"/>
      <x:c r="H5" s="26" t="str"/>
      <x:c r="I5" s="28" t="str"/>
    </x:row>
    <x:row r="6">
      <x:c r="A6" s="26" t="n">
        <x:v>5</x:v>
      </x:c>
      <x:c r="B6" s="26" t="n">
        <x:v>1</x:v>
      </x:c>
      <x:c r="C6" s="26" t="str"/>
      <x:c r="D6" s="26" t="str"/>
      <x:c r="E6" s="26" t="str"/>
      <x:c r="F6" s="26" t="str"/>
      <x:c r="G6" s="26" t="str"/>
      <x:c r="H6" s="26" t="str"/>
      <x:c r="I6" s="28" t="str"/>
    </x:row>
    <x:row r="7">
      <x:c r="A7" s="26" t="n">
        <x:v>6</x:v>
      </x:c>
      <x:c r="B7" s="26" t="n">
        <x:v>1</x:v>
      </x:c>
      <x:c r="C7" s="26" t="str"/>
      <x:c r="D7" s="26" t="str"/>
      <x:c r="E7" s="26" t="str"/>
      <x:c r="F7" s="26" t="str"/>
      <x:c r="G7" s="26" t="str"/>
      <x:c r="H7" s="26" t="str"/>
      <x:c r="I7" s="28" t="str"/>
    </x:row>
    <x:row r="8">
      <x:c r="A8" s="26" t="n">
        <x:v>7</x:v>
      </x:c>
      <x:c r="B8" s="26" t="n">
        <x:v>1</x:v>
      </x:c>
      <x:c r="C8" s="26" t="str"/>
      <x:c r="D8" s="26" t="str"/>
      <x:c r="E8" s="26" t="str"/>
      <x:c r="F8" s="26" t="str"/>
      <x:c r="G8" s="26" t="str"/>
      <x:c r="H8" s="26" t="str"/>
      <x:c r="I8" s="28" t="str"/>
    </x:row>
    <x:row r="9">
      <x:c r="A9" s="26" t="n">
        <x:v>8</x:v>
      </x:c>
      <x:c r="B9" s="26" t="n">
        <x:v>1</x:v>
      </x:c>
      <x:c r="C9" s="26" t="str"/>
      <x:c r="D9" s="26" t="str"/>
      <x:c r="E9" s="26" t="str"/>
      <x:c r="F9" s="26" t="str"/>
      <x:c r="G9" s="26" t="str"/>
      <x:c r="H9" s="26" t="str"/>
      <x:c r="I9" s="28" t="str"/>
    </x:row>
    <x:row r="10">
      <x:c r="A10" s="26" t="n">
        <x:v>9</x:v>
      </x:c>
      <x:c r="B10" s="26" t="n">
        <x:v>1</x:v>
      </x:c>
      <x:c r="C10" s="26" t="str"/>
      <x:c r="D10" s="26" t="str"/>
      <x:c r="E10" s="26" t="str"/>
      <x:c r="F10" s="26" t="str"/>
      <x:c r="G10" s="26" t="str"/>
      <x:c r="H10" s="26" t="str"/>
      <x:c r="I10" s="28" t="str"/>
    </x:row>
    <x:row r="11">
      <x:c r="A11" s="26" t="n">
        <x:v>10</x:v>
      </x:c>
      <x:c r="B11" s="26" t="n">
        <x:v>1</x:v>
      </x:c>
      <x:c r="C11" s="26" t="str"/>
      <x:c r="D11" s="26" t="str"/>
      <x:c r="E11" s="26" t="str"/>
      <x:c r="F11" s="26" t="str"/>
      <x:c r="G11" s="26" t="str"/>
      <x:c r="H11" s="26" t="str"/>
      <x:c r="I11" s="28" t="str"/>
    </x:row>
    <x:row r="12">
      <x:c r="A12" s="26" t="n">
        <x:v>11</x:v>
      </x:c>
      <x:c r="B12" s="26" t="n">
        <x:v>1</x:v>
      </x:c>
      <x:c r="C12" s="26" t="str"/>
      <x:c r="D12" s="26" t="str"/>
      <x:c r="E12" s="26" t="str"/>
      <x:c r="F12" s="26" t="str"/>
      <x:c r="G12" s="26" t="str"/>
      <x:c r="H12" s="26" t="str"/>
      <x:c r="I12" s="28" t="str"/>
    </x:row>
    <x:row r="13">
      <x:c r="A13" s="26" t="n">
        <x:v>12</x:v>
      </x:c>
      <x:c r="B13" s="26" t="n">
        <x:v>1</x:v>
      </x:c>
      <x:c r="C13" s="26" t="str"/>
      <x:c r="D13" s="26" t="str"/>
      <x:c r="E13" s="26" t="str"/>
      <x:c r="F13" s="26" t="str"/>
      <x:c r="G13" s="26" t="str"/>
      <x:c r="H13" s="26" t="str"/>
      <x:c r="I13" s="28" t="str"/>
    </x:row>
    <x:row r="14">
      <x:c r="A14" s="26" t="n">
        <x:v>13</x:v>
      </x:c>
      <x:c r="B14" s="26" t="n">
        <x:v>1</x:v>
      </x:c>
      <x:c r="C14" s="26" t="str"/>
      <x:c r="D14" s="26" t="str"/>
      <x:c r="E14" s="26" t="str"/>
      <x:c r="F14" s="26" t="str"/>
      <x:c r="G14" s="26" t="str"/>
      <x:c r="H14" s="26" t="str"/>
      <x:c r="I14" s="28" t="str"/>
    </x:row>
    <x:row r="15">
      <x:c r="A15" s="26" t="n">
        <x:v>14</x:v>
      </x:c>
      <x:c r="B15" s="26" t="n">
        <x:v>1</x:v>
      </x:c>
      <x:c r="C15" s="26" t="str"/>
      <x:c r="D15" s="26" t="str"/>
      <x:c r="E15" s="26" t="str"/>
      <x:c r="F15" s="26" t="str"/>
      <x:c r="G15" s="26" t="str"/>
      <x:c r="H15" s="26" t="str"/>
      <x:c r="I15" s="28" t="str"/>
    </x:row>
    <x:row r="16">
      <x:c r="A16" s="26" t="n">
        <x:v>15</x:v>
      </x:c>
      <x:c r="B16" s="26" t="n">
        <x:v>1</x:v>
      </x:c>
      <x:c r="C16" s="26" t="str"/>
      <x:c r="D16" s="26" t="str"/>
      <x:c r="E16" s="26" t="str"/>
      <x:c r="F16" s="26" t="str"/>
      <x:c r="G16" s="26" t="str"/>
      <x:c r="H16" s="26" t="str"/>
      <x:c r="I16" s="28" t="str"/>
    </x:row>
    <x:row r="17">
      <x:c r="A17" s="26" t="n">
        <x:v>16</x:v>
      </x:c>
      <x:c r="B17" s="26" t="n">
        <x:v>1</x:v>
      </x:c>
      <x:c r="C17" s="26" t="str"/>
      <x:c r="D17" s="26" t="str"/>
      <x:c r="E17" s="26" t="str"/>
      <x:c r="F17" s="26" t="str"/>
      <x:c r="G17" s="26" t="str"/>
      <x:c r="H17" s="26" t="str"/>
      <x:c r="I17" s="28" t="str"/>
    </x:row>
    <x:row r="18">
      <x:c r="A18" s="26" t="n">
        <x:v>17</x:v>
      </x:c>
      <x:c r="B18" s="26" t="n">
        <x:v>1</x:v>
      </x:c>
      <x:c r="C18" s="26" t="str"/>
      <x:c r="D18" s="26" t="str"/>
      <x:c r="E18" s="26" t="str"/>
      <x:c r="F18" s="26" t="str"/>
      <x:c r="G18" s="26" t="str"/>
      <x:c r="H18" s="26" t="str"/>
      <x:c r="I18" s="28" t="str"/>
    </x:row>
    <x:row r="19">
      <x:c r="A19" s="26" t="n">
        <x:v>18</x:v>
      </x:c>
      <x:c r="B19" s="26" t="n">
        <x:v>1</x:v>
      </x:c>
      <x:c r="C19" s="26" t="str"/>
      <x:c r="D19" s="26" t="str"/>
      <x:c r="E19" s="26" t="str"/>
      <x:c r="F19" s="26" t="str"/>
      <x:c r="G19" s="26" t="str"/>
      <x:c r="H19" s="26" t="str"/>
      <x:c r="I19" s="28" t="str"/>
    </x:row>
    <x:row r="20">
      <x:c r="A20" s="26" t="n">
        <x:v>19</x:v>
      </x:c>
      <x:c r="B20" s="26" t="n">
        <x:v>1</x:v>
      </x:c>
      <x:c r="C20" s="26" t="str"/>
      <x:c r="D20" s="26" t="str"/>
      <x:c r="E20" s="26" t="str"/>
      <x:c r="F20" s="26" t="str"/>
      <x:c r="G20" s="26" t="str"/>
      <x:c r="H20" s="26" t="str"/>
      <x:c r="I20" s="28" t="str"/>
    </x:row>
    <x:row r="21">
      <x:c r="A21" s="26" t="n">
        <x:v>20</x:v>
      </x:c>
      <x:c r="B21" s="26" t="n">
        <x:v>1</x:v>
      </x:c>
      <x:c r="C21" s="26" t="str">
        <x:v>independent</x:v>
      </x:c>
      <x:c r="D21" s="26" t="str"/>
      <x:c r="E21" s="26" t="str">
        <x:v>Narrow feral-pig local-population identification + selectively timed/delivered general poison</x:v>
      </x:c>
      <x:c r="F21" s="26" t="str">
        <x:v>A method of selectively killing a feral pig by: identifying members of a local feral pig population using audio or video recognition technology, or a combination thereof; identifying when all members of the local feral pig population are present; and selectively administering a general poison to all members of the local feral pig population, wherein the general poison kills the feral pig.</x:v>
      </x:c>
      <x:c r="G21" s="26" t="str">
        <x:v>drafted</x:v>
      </x:c>
      <x:c r="H21" s="26" t="str">
        <x:v>112(b); written-description gap; enablement gap; prior-art risk; restriction risk; regulatory/deployment issue</x:v>
      </x:c>
      <x:c r="I21" s="28" t="n">
        <x:v>46268</x:v>
      </x:c>
    </x:row>
  </x:sheetData>
  <x:conditionalFormatting sqref="G2:G21">
    <x:cfRule type="expression" dxfId="0" priority="1">
      <x:formula>G2="final"</x:formula>
    </x:cfRule>
    <x:cfRule type="expression" dxfId="1" priority="2">
      <x:formula>G2="under review"</x:formula>
    </x:cfRule>
  </x:conditionalFormatting>
  <x:dataValidations count="2">
    <x:dataValidation type="list" sqref="C2:C21">
      <x:formula1>"independent,dependent"</x:formula1>
    </x:dataValidation>
    <x:dataValidation type="list" sqref="G2:G21">
      <x:formula1>"drafted,under review,attorney-reviewed,final"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2c25c3956d46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48" hidden="0" customWidth="1"/>
    <x:col min="5" max="5" width="18" hidden="0" customWidth="1"/>
    <x:col min="6" max="6" width="14" hidden="0" customWidth="1"/>
    <x:col min="7" max="7" width="12" hidden="0" customWidth="1"/>
    <x:col min="8" max="8" width="12" hidden="0" customWidth="1"/>
    <x:col min="9" max="9" width="20" hidden="0" customWidth="1"/>
    <x:col min="10" max="10" width="40" hidden="0" customWidth="1"/>
    <x:col min="11" max="11" width="14" hidden="0" customWidth="1"/>
  </x:cols>
  <x:sheetData>
    <x:row r="1">
      <x:c r="A1" s="20" t="str">
        <x:v>ID</x:v>
      </x:c>
      <x:c r="B1" s="20" t="str">
        <x:v>Workstream</x:v>
      </x:c>
      <x:c r="C1" s="20" t="str">
        <x:v>Task</x:v>
      </x:c>
      <x:c r="D1" s="20" t="str">
        <x:v>Deliverable / acceptance criterion</x:v>
      </x:c>
      <x:c r="E1" s="20" t="str">
        <x:v>Owner</x:v>
      </x:c>
      <x:c r="F1" s="20" t="str">
        <x:v>Status</x:v>
      </x:c>
      <x:c r="G1" s="20" t="str">
        <x:v>Priority</x:v>
      </x:c>
      <x:c r="H1" s="20" t="str">
        <x:v>Horizon</x:v>
      </x:c>
      <x:c r="I1" s="20" t="str">
        <x:v>Dependency</x:v>
      </x:c>
      <x:c r="J1" s="20" t="str">
        <x:v>Risk / note</x:v>
      </x:c>
      <x:c r="K1" s="20" t="str">
        <x:v>Last updated</x:v>
      </x:c>
    </x:row>
    <x:row r="2">
      <x:c r="A2" s="26" t="str">
        <x:v>PAT-001</x:v>
      </x:c>
      <x:c r="B2" s="26" t="str">
        <x:v>Patent</x:v>
      </x:c>
      <x:c r="C2" s="26" t="str">
        <x:v>Create claim inventory tracker</x:v>
      </x:c>
      <x:c r="D2" s="26" t="str">
        <x:v>Tracker exists and is single source of truth</x:v>
      </x:c>
      <x:c r="E2" s="26" t="str">
        <x:v>Robert/AI</x:v>
      </x:c>
      <x:c r="F2" s="26" t="str">
        <x:v>Complete</x:v>
      </x:c>
      <x:c r="G2" s="26" t="str">
        <x:v>Critical</x:v>
      </x:c>
      <x:c r="H2" s="26" t="str">
        <x:v>1-week</x:v>
      </x:c>
      <x:c r="I2" s="26" t="str"/>
      <x:c r="J2" s="26" t="str">
        <x:v>Mandatory before further claim drafting</x:v>
      </x:c>
      <x:c r="K2" s="28" t="n">
        <x:v>46268</x:v>
      </x:c>
    </x:row>
    <x:row r="3">
      <x:c r="A3" s="26" t="str">
        <x:v>PAT-002</x:v>
      </x:c>
      <x:c r="B3" s="26" t="str">
        <x:v>Patent</x:v>
      </x:c>
      <x:c r="C3" s="26" t="str">
        <x:v>Draft enabling provisional specification skeleton</x:v>
      </x:c>
      <x:c r="D3" s="26" t="str">
        <x:v>Sections for field/background/summary/definitions/architecture/recognition/population ID/lethal delivery/safety/variants/examples/data flows/hardware-software/deployment/failure cases</x:v>
      </x:c>
      <x:c r="E3" s="26" t="str">
        <x:v>Robert/AI</x:v>
      </x:c>
      <x:c r="F3" s="26" t="str">
        <x:v>In Progress</x:v>
      </x:c>
      <x:c r="G3" s="26" t="str">
        <x:v>Critical</x:v>
      </x:c>
      <x:c r="H3" s="26" t="str">
        <x:v>1-week</x:v>
      </x:c>
      <x:c r="I3" s="26" t="str">
        <x:v>PAT-001</x:v>
      </x:c>
      <x:c r="J3" s="26" t="str">
        <x:v>Do not let claim perfection delay an enabling filing</x:v>
      </x:c>
      <x:c r="K3" s="28" t="n">
        <x:v>46268</x:v>
      </x:c>
    </x:row>
    <x:row r="4">
      <x:c r="A4" s="26" t="str">
        <x:v>PAT-003</x:v>
      </x:c>
      <x:c r="B4" s="26" t="str">
        <x:v>Patent</x:v>
      </x:c>
      <x:c r="C4" s="26" t="str">
        <x:v>Elicit missing technical details</x:v>
      </x:c>
      <x:c r="D4" s="26" t="str">
        <x:v>Written answers or diagrams sufficient to support recognition models, thresholds, group membership logic, actuation, safety interlocks, failure modes</x:v>
      </x:c>
      <x:c r="E4" s="26" t="str">
        <x:v>Robert</x:v>
      </x:c>
      <x:c r="F4" s="26" t="str">
        <x:v>Not Started</x:v>
      </x:c>
      <x:c r="G4" s="26" t="str">
        <x:v>Critical</x:v>
      </x:c>
      <x:c r="H4" s="26" t="str">
        <x:v>1-week</x:v>
      </x:c>
      <x:c r="I4" s="26" t="str">
        <x:v>PAT-002</x:v>
      </x:c>
      <x:c r="J4" s="26" t="str">
        <x:v>Blocking enablement risk</x:v>
      </x:c>
      <x:c r="K4" s="28" t="n">
        <x:v>46268</x:v>
      </x:c>
    </x:row>
    <x:row r="5">
      <x:c r="A5" s="26" t="str">
        <x:v>PAT-004</x:v>
      </x:c>
      <x:c r="B5" s="26" t="str">
        <x:v>Patent</x:v>
      </x:c>
      <x:c r="C5" s="26" t="str">
        <x:v>Draft Set 1 mid-scope independent claim</x:v>
      </x:c>
      <x:c r="D5" s="26" t="str">
        <x:v>One independent claim bridging generic pest-control and narrow feral-pig embodiment; logged in tracker</x:v>
      </x:c>
      <x:c r="E5" s="26" t="str">
        <x:v>Robert/AI</x:v>
      </x:c>
      <x:c r="F5" s="26" t="str">
        <x:v>Not Started</x:v>
      </x:c>
      <x:c r="G5" s="26" t="str">
        <x:v>High</x:v>
      </x:c>
      <x:c r="H5" s="26" t="str">
        <x:v>1-week</x:v>
      </x:c>
      <x:c r="I5" s="26" t="str">
        <x:v>PAT-003</x:v>
      </x:c>
      <x:c r="J5" s="26" t="str">
        <x:v>Do not draft Set 2</x:v>
      </x:c>
      <x:c r="K5" s="28" t="n">
        <x:v>46268</x:v>
      </x:c>
    </x:row>
    <x:row r="6">
      <x:c r="A6" s="26" t="str">
        <x:v>PAT-005</x:v>
      </x:c>
      <x:c r="B6" s="26" t="str">
        <x:v>Patent</x:v>
      </x:c>
      <x:c r="C6" s="26" t="str">
        <x:v>Draft 17 dependent claims</x:v>
      </x:c>
      <x:c r="D6" s="26" t="str">
        <x:v>Exactly 17 dependent claims with valid dependency tree and tracker entries</x:v>
      </x:c>
      <x:c r="E6" s="26" t="str">
        <x:v>Robert/AI</x:v>
      </x:c>
      <x:c r="F6" s="26" t="str">
        <x:v>Not Started</x:v>
      </x:c>
      <x:c r="G6" s="26" t="str">
        <x:v>High</x:v>
      </x:c>
      <x:c r="H6" s="26" t="str">
        <x:v>1-week</x:v>
      </x:c>
      <x:c r="I6" s="26" t="str">
        <x:v>PAT-004</x:v>
      </x:c>
      <x:c r="J6" s="26" t="str">
        <x:v>Set complete only at 3 independent + 17 dependent</x:v>
      </x:c>
      <x:c r="K6" s="28" t="n">
        <x:v>46268</x:v>
      </x:c>
    </x:row>
    <x:row r="7">
      <x:c r="A7" s="26" t="str">
        <x:v>PAT-006</x:v>
      </x:c>
      <x:c r="B7" s="26" t="str">
        <x:v>Patent</x:v>
      </x:c>
      <x:c r="C7" s="26" t="str">
        <x:v>Resolve 'lethal means' 112(f) strategy</x:v>
      </x:c>
      <x:c r="D7" s="26" t="str">
        <x:v>Specification deliberately supports MPF treatment or claims recite concrete acts/materials/structures</x:v>
      </x:c>
      <x:c r="E7" s="26" t="str">
        <x:v>Robert/Patent counsel</x:v>
      </x:c>
      <x:c r="F7" s="26" t="str">
        <x:v>Not Started</x:v>
      </x:c>
      <x:c r="G7" s="26" t="str">
        <x:v>Critical</x:v>
      </x:c>
      <x:c r="H7" s="26" t="str">
        <x:v>1-week</x:v>
      </x:c>
      <x:c r="I7" s="26" t="str">
        <x:v>PAT-002</x:v>
      </x:c>
      <x:c r="J7" s="26" t="str">
        <x:v>Known 112(f)/112(b) risk</x:v>
      </x:c>
      <x:c r="K7" s="28" t="n">
        <x:v>46268</x:v>
      </x:c>
    </x:row>
    <x:row r="8">
      <x:c r="A8" s="26" t="str">
        <x:v>PAT-007</x:v>
      </x:c>
      <x:c r="B8" s="26" t="str">
        <x:v>Patent</x:v>
      </x:c>
      <x:c r="C8" s="26" t="str">
        <x:v>Tighten Claim 20 selective-delivery semantics</x:v>
      </x:c>
      <x:c r="D8" s="26" t="str">
        <x:v>Differentiate nonselective toxicity from selective access/timing/delivery; update tracker</x:v>
      </x:c>
      <x:c r="E8" s="26" t="str">
        <x:v>Robert/AI</x:v>
      </x:c>
      <x:c r="F8" s="26" t="str">
        <x:v>Not Started</x:v>
      </x:c>
      <x:c r="G8" s="26" t="str">
        <x:v>Critical</x:v>
      </x:c>
      <x:c r="H8" s="26" t="str">
        <x:v>1-week</x:v>
      </x:c>
      <x:c r="I8" s="26" t="str">
        <x:v>PAT-003</x:v>
      </x:c>
      <x:c r="J8" s="26" t="str">
        <x:v>Known 112(b) risk</x:v>
      </x:c>
      <x:c r="K8" s="28" t="n">
        <x:v>46268</x:v>
      </x:c>
    </x:row>
    <x:row r="9">
      <x:c r="A9" s="26" t="str">
        <x:v>PAT-008</x:v>
      </x:c>
      <x:c r="B9" s="26" t="str">
        <x:v>Patent</x:v>
      </x:c>
      <x:c r="C9" s="26" t="str">
        <x:v>Document 'all members present' implementation</x:v>
      </x:c>
      <x:c r="D9" s="26" t="str">
        <x:v>Recognition, individual/group ID, confidence thresholds, sampling windows, exclusion criteria, false positive/negative handling</x:v>
      </x:c>
      <x:c r="E9" s="26" t="str">
        <x:v>Robert</x:v>
      </x:c>
      <x:c r="F9" s="26" t="str">
        <x:v>Not Started</x:v>
      </x:c>
      <x:c r="G9" s="26" t="str">
        <x:v>Critical</x:v>
      </x:c>
      <x:c r="H9" s="26" t="str">
        <x:v>1-week</x:v>
      </x:c>
      <x:c r="I9" s="26" t="str">
        <x:v>PAT-003</x:v>
      </x:c>
      <x:c r="J9" s="26" t="str">
        <x:v>Blocking written-description/enablement risk</x:v>
      </x:c>
      <x:c r="K9" s="28" t="n">
        <x:v>46268</x:v>
      </x:c>
    </x:row>
    <x:row r="10">
      <x:c r="A10" s="26" t="str">
        <x:v>PAT-009</x:v>
      </x:c>
      <x:c r="B10" s="26" t="str">
        <x:v>Prior Art</x:v>
      </x:c>
      <x:c r="C10" s="26" t="str">
        <x:v>Trace transcript references to primary sources</x:v>
      </x:c>
      <x:c r="D10" s="26" t="str">
        <x:v>Identify LSU feeder work, Kaput/warfarin documents, sounder trapping systems, source video/news/publications</x:v>
      </x:c>
      <x:c r="E10" s="26" t="str">
        <x:v>AI/Robert</x:v>
      </x:c>
      <x:c r="F10" s="26" t="str">
        <x:v>In Progress</x:v>
      </x:c>
      <x:c r="G10" s="26" t="str">
        <x:v>Critical</x:v>
      </x:c>
      <x:c r="H10" s="26" t="str">
        <x:v>1-week</x:v>
      </x:c>
      <x:c r="I10" s="26" t="str"/>
      <x:c r="J10" s="26" t="str">
        <x:v>Transcript is lead source, not prior-art proof</x:v>
      </x:c>
      <x:c r="K10" s="28" t="n">
        <x:v>46268</x:v>
      </x:c>
    </x:row>
    <x:row r="11">
      <x:c r="A11" s="26" t="str">
        <x:v>PAT-010</x:v>
      </x:c>
      <x:c r="B11" s="26" t="str">
        <x:v>Prior Art</x:v>
      </x:c>
      <x:c r="C11" s="26" t="str">
        <x:v>Run preliminary AI prior-art triage</x:v>
      </x:c>
      <x:c r="D11" s="26" t="str">
        <x:v>Search patents/nonpatent literature for audio/video recognition + selective lethal delivery + sounder-completeness logic</x:v>
      </x:c>
      <x:c r="E11" s="26" t="str">
        <x:v>AI</x:v>
      </x:c>
      <x:c r="F11" s="26" t="str">
        <x:v>Complete</x:v>
      </x:c>
      <x:c r="G11" s="26" t="str">
        <x:v>High</x:v>
      </x:c>
      <x:c r="H11" s="26" t="str">
        <x:v>1-week</x:v>
      </x:c>
      <x:c r="I11" s="26" t="str">
        <x:v>PAT-009</x:v>
      </x:c>
      <x:c r="J11" s="26" t="str">
        <x:v>Triage only; later USPTO/PPS + Google Patents/pro search</x:v>
      </x:c>
      <x:c r="K11" s="28" t="n">
        <x:v>46268</x:v>
      </x:c>
    </x:row>
    <x:row r="12">
      <x:c r="A12" s="26" t="str">
        <x:v>PAT-011</x:v>
      </x:c>
      <x:c r="B12" s="26" t="str">
        <x:v>Prior Art</x:v>
      </x:c>
      <x:c r="C12" s="26" t="str">
        <x:v>Run formal patent search</x:v>
      </x:c>
      <x:c r="D12" s="26" t="str">
        <x:v>USPTO Patent Public Search + Google Patents + CPC/keyword/citation searching; log search strings/results</x:v>
      </x:c>
      <x:c r="E12" s="26" t="str">
        <x:v>Robert/Patent searcher</x:v>
      </x:c>
      <x:c r="F12" s="26" t="str">
        <x:v>Not Started</x:v>
      </x:c>
      <x:c r="G12" s="26" t="str">
        <x:v>Critical</x:v>
      </x:c>
      <x:c r="H12" s="26" t="str">
        <x:v>1-month</x:v>
      </x:c>
      <x:c r="I12" s="26" t="str">
        <x:v>PAT-010</x:v>
      </x:c>
      <x:c r="J12" s="26" t="str">
        <x:v>Required before nonprovisional strategy</x:v>
      </x:c>
      <x:c r="K12" s="28" t="n">
        <x:v>46268</x:v>
      </x:c>
    </x:row>
    <x:row r="13">
      <x:c r="A13" s="26" t="str">
        <x:v>PAT-012</x:v>
      </x:c>
      <x:c r="B13" s="26" t="str">
        <x:v>Patent</x:v>
      </x:c>
      <x:c r="C13" s="26" t="str">
        <x:v>Attorney review pass</x:v>
      </x:c>
      <x:c r="D13" s="26" t="str">
        <x:v>Licensed patent attorney reviews provisional and claim-support map</x:v>
      </x:c>
      <x:c r="E13" s="26" t="str">
        <x:v>Patent counsel</x:v>
      </x:c>
      <x:c r="F13" s="26" t="str">
        <x:v>Not Started</x:v>
      </x:c>
      <x:c r="G13" s="26" t="str">
        <x:v>Critical</x:v>
      </x:c>
      <x:c r="H13" s="26" t="str">
        <x:v>1-week</x:v>
      </x:c>
      <x:c r="I13" s="26" t="str">
        <x:v>PAT-002,PAT-003</x:v>
      </x:c>
      <x:c r="J13" s="26" t="str">
        <x:v>No filing/submission before review</x:v>
      </x:c>
      <x:c r="K13" s="28" t="n">
        <x:v>46268</x:v>
      </x:c>
    </x:row>
    <x:row r="14">
      <x:c r="A14" s="26" t="str">
        <x:v>PAT-013</x:v>
      </x:c>
      <x:c r="B14" s="26" t="str">
        <x:v>Patent</x:v>
      </x:c>
      <x:c r="C14" s="26" t="str">
        <x:v>File provisional when enabling</x:v>
      </x:c>
      <x:c r="D14" s="26" t="str">
        <x:v>Specification, drawings, cover sheet, inventor data, fee; filing receipt archived</x:v>
      </x:c>
      <x:c r="E14" s="26" t="str">
        <x:v>Robert/Patent counsel</x:v>
      </x:c>
      <x:c r="F14" s="26" t="str">
        <x:v>Not Started</x:v>
      </x:c>
      <x:c r="G14" s="26" t="str">
        <x:v>Critical</x:v>
      </x:c>
      <x:c r="H14" s="26" t="str">
        <x:v>1-week</x:v>
      </x:c>
      <x:c r="I14" s="26" t="str">
        <x:v>PAT-012</x:v>
      </x:c>
      <x:c r="J14" s="26" t="str">
        <x:v>Filing gated by enablement, not claim perfection</x:v>
      </x:c>
      <x:c r="K14" s="28" t="n">
        <x:v>46268</x:v>
      </x:c>
    </x:row>
    <x:row r="15">
      <x:c r="A15" s="26" t="str">
        <x:v>MPEP-001</x:v>
      </x:c>
      <x:c r="B15" s="26" t="str">
        <x:v>Legal Research</x:v>
      </x:c>
      <x:c r="C15" s="26" t="str">
        <x:v>Index current MPEP + post-cutoff updates</x:v>
      </x:c>
      <x:c r="D15" s="26" t="str">
        <x:v>Current MPEP revision, consolidated laws/rules, Subsequent Publications, superseding memoranda indexed</x:v>
      </x:c>
      <x:c r="E15" s="26" t="str">
        <x:v>AI</x:v>
      </x:c>
      <x:c r="F15" s="26" t="str">
        <x:v>Complete</x:v>
      </x:c>
      <x:c r="G15" s="26" t="str">
        <x:v>Critical</x:v>
      </x:c>
      <x:c r="H15" s="26" t="str">
        <x:v>1-week</x:v>
      </x:c>
      <x:c r="I15" s="26" t="str"/>
      <x:c r="J15" s="26" t="str">
        <x:v>Current MPEP only current through 2024-01-31</x:v>
      </x:c>
      <x:c r="K15" s="28" t="n">
        <x:v>46268</x:v>
      </x:c>
    </x:row>
    <x:row r="16">
      <x:c r="A16" s="26" t="str">
        <x:v>MPEP-002</x:v>
      </x:c>
      <x:c r="B16" s="26" t="str">
        <x:v>Legal Research</x:v>
      </x:c>
      <x:c r="C16" s="26" t="str">
        <x:v>Build MPEP PDF authority pack</x:v>
      </x:c>
      <x:c r="D16" s="26" t="str">
        <x:v>Downloadable manifest/index plus official PDF links; local bundle where source hosting permits</x:v>
      </x:c>
      <x:c r="E16" s="26" t="str">
        <x:v>AI</x:v>
      </x:c>
      <x:c r="F16" s="26" t="str">
        <x:v>Complete</x:v>
      </x:c>
      <x:c r="G16" s="26" t="str">
        <x:v>High</x:v>
      </x:c>
      <x:c r="H16" s="26" t="str">
        <x:v>1-week</x:v>
      </x:c>
      <x:c r="I16" s="26" t="str">
        <x:v>MPEP-001</x:v>
      </x:c>
      <x:c r="J16" s="26" t="str">
        <x:v>USPTO host currently blocks direct sandbox mirroring; hyperlink pack used as audit trail</x:v>
      </x:c>
      <x:c r="K16" s="28" t="n">
        <x:v>46268</x:v>
      </x:c>
    </x:row>
    <x:row r="17">
      <x:c r="A17" s="26" t="str">
        <x:v>MPEP-003</x:v>
      </x:c>
      <x:c r="B17" s="26" t="str">
        <x:v>Legal Research</x:v>
      </x:c>
      <x:c r="C17" s="26" t="str">
        <x:v>Add post-July-20-2026 practice changes</x:v>
      </x:c>
      <x:c r="D17" s="26" t="str">
        <x:v>Include Aug. 3, 2026 DOCX filing process notice; screen later notices for MPEP impact</x:v>
      </x:c>
      <x:c r="E17" s="26" t="str">
        <x:v>AI</x:v>
      </x:c>
      <x:c r="F17" s="26" t="str">
        <x:v>Complete</x:v>
      </x:c>
      <x:c r="G17" s="26" t="str">
        <x:v>High</x:v>
      </x:c>
      <x:c r="H17" s="26" t="str">
        <x:v>1-week</x:v>
      </x:c>
      <x:c r="I17" s="26" t="str">
        <x:v>MPEP-001</x:v>
      </x:c>
      <x:c r="J17" s="26" t="str">
        <x:v>Official Subsequent Publications PDF is current only through 2026-07-20</x:v>
      </x:c>
      <x:c r="K17" s="28" t="n">
        <x:v>46268</x:v>
      </x:c>
    </x:row>
    <x:row r="18">
      <x:c r="A18" s="26" t="str">
        <x:v>BUS-001</x:v>
      </x:c>
      <x:c r="B18" s="26" t="str">
        <x:v>Business</x:v>
      </x:c>
      <x:c r="C18" s="26" t="str">
        <x:v>Define customer/problem segments</x:v>
      </x:c>
      <x:c r="D18" s="26" t="str">
        <x:v>Rank agencies, landowners, farms, operators, airports, conservation stakeholders by pain and buying process</x:v>
      </x:c>
      <x:c r="E18" s="26" t="str">
        <x:v>Robert/AI</x:v>
      </x:c>
      <x:c r="F18" s="26" t="str">
        <x:v>Not Started</x:v>
      </x:c>
      <x:c r="G18" s="26" t="str">
        <x:v>High</x:v>
      </x:c>
      <x:c r="H18" s="26" t="str">
        <x:v>1-month</x:v>
      </x:c>
      <x:c r="I18" s="26" t="str"/>
      <x:c r="J18" s="26" t="str">
        <x:v>Separate patentability from product-market fit</x:v>
      </x:c>
      <x:c r="K18" s="28" t="n">
        <x:v>46268</x:v>
      </x:c>
    </x:row>
    <x:row r="19">
      <x:c r="A19" s="26" t="str">
        <x:v>BUS-002</x:v>
      </x:c>
      <x:c r="B19" s="26" t="str">
        <x:v>Business</x:v>
      </x:c>
      <x:c r="C19" s="26" t="str">
        <x:v>Define product/service architectures</x:v>
      </x:c>
      <x:c r="D19" s="26" t="str">
        <x:v>Hardware, SaaS/recognition, feeder/actuator, managed control service, data/licensing variants</x:v>
      </x:c>
      <x:c r="E19" s="26" t="str">
        <x:v>Robert/AI</x:v>
      </x:c>
      <x:c r="F19" s="26" t="str">
        <x:v>Not Started</x:v>
      </x:c>
      <x:c r="G19" s="26" t="str">
        <x:v>High</x:v>
      </x:c>
      <x:c r="H19" s="26" t="str">
        <x:v>1-month</x:v>
      </x:c>
      <x:c r="I19" s="26" t="str">
        <x:v>PAT-003</x:v>
      </x:c>
      <x:c r="J19" s="26" t="str">
        <x:v>Avoid premature technical disclosure</x:v>
      </x:c>
      <x:c r="K19" s="28" t="n">
        <x:v>46268</x:v>
      </x:c>
    </x:row>
    <x:row r="20">
      <x:c r="A20" s="26" t="str">
        <x:v>BUS-003</x:v>
      </x:c>
      <x:c r="B20" s="26" t="str">
        <x:v>Business</x:v>
      </x:c>
      <x:c r="C20" s="26" t="str">
        <x:v>Build regulatory map</x:v>
      </x:c>
      <x:c r="D20" s="26" t="str">
        <x:v>EPA pesticide/FIFRA; state pesticide/wildlife rules; USDA/APHIS; carcass/environmental controls; firearms/aircraft if applicable</x:v>
      </x:c>
      <x:c r="E20" s="26" t="str">
        <x:v>AI/Regulatory counsel</x:v>
      </x:c>
      <x:c r="F20" s="26" t="str">
        <x:v>Not Started</x:v>
      </x:c>
      <x:c r="G20" s="26" t="str">
        <x:v>Critical</x:v>
      </x:c>
      <x:c r="H20" s="26" t="str">
        <x:v>1-month</x:v>
      </x:c>
      <x:c r="I20" s="26" t="str"/>
      <x:c r="J20" s="26" t="str">
        <x:v>Deployment legality independent of patentability</x:v>
      </x:c>
      <x:c r="K20" s="28" t="n">
        <x:v>46268</x:v>
      </x:c>
    </x:row>
    <x:row r="21">
      <x:c r="A21" s="26" t="str">
        <x:v>ORG-001</x:v>
      </x:c>
      <x:c r="B21" s="26" t="str">
        <x:v>Company/IP</x:v>
      </x:c>
      <x:c r="C21" s="26" t="str">
        <x:v>Settle inventorship/conception record</x:v>
      </x:c>
      <x:c r="D21" s="26" t="str">
        <x:v>Signed invention/conception chronology identifying contribution by claim concept</x:v>
      </x:c>
      <x:c r="E21" s="26" t="str">
        <x:v>Robert/Co-inventors/Counsel</x:v>
      </x:c>
      <x:c r="F21" s="26" t="str">
        <x:v>Not Started</x:v>
      </x:c>
      <x:c r="G21" s="26" t="str">
        <x:v>Critical</x:v>
      </x:c>
      <x:c r="H21" s="26" t="str">
        <x:v>1-month</x:v>
      </x:c>
      <x:c r="I21" s="26" t="str"/>
      <x:c r="J21" s="26" t="str">
        <x:v>Complete before equity/IP assignment</x:v>
      </x:c>
      <x:c r="K21" s="28" t="n">
        <x:v>46268</x:v>
      </x:c>
    </x:row>
    <x:row r="22">
      <x:c r="A22" s="26" t="str">
        <x:v>ORG-002</x:v>
      </x:c>
      <x:c r="B22" s="26" t="str">
        <x:v>Company/IP</x:v>
      </x:c>
      <x:c r="C22" s="26" t="str">
        <x:v>Form entity and IP-assignment plan</x:v>
      </x:c>
      <x:c r="D22" s="26" t="str">
        <x:v>Entity structure and assignment instruments selected</x:v>
      </x:c>
      <x:c r="E22" s="26" t="str">
        <x:v>Robert/Corporate counsel</x:v>
      </x:c>
      <x:c r="F22" s="26" t="str">
        <x:v>Not Started</x:v>
      </x:c>
      <x:c r="G22" s="26" t="str">
        <x:v>High</x:v>
      </x:c>
      <x:c r="H22" s="26" t="str">
        <x:v>1-month</x:v>
      </x:c>
      <x:c r="I22" s="26" t="str">
        <x:v>ORG-001</x:v>
      </x:c>
      <x:c r="J22" s="26" t="str">
        <x:v>Budget/tax/legal review required</x:v>
      </x:c>
      <x:c r="K22" s="28" t="n">
        <x:v>46268</x:v>
      </x:c>
    </x:row>
    <x:row r="23">
      <x:c r="A23" s="26" t="str">
        <x:v>FUND-001</x:v>
      </x:c>
      <x:c r="B23" s="26" t="str">
        <x:v>Funding</x:v>
      </x:c>
      <x:c r="C23" s="26" t="str">
        <x:v>Funding opportunity sweep</x:v>
      </x:c>
      <x:c r="D23" s="26" t="str">
        <x:v>SBIR/STTR + federal/state + Mid-Atlantic/Midwest opportunities with deadlines/fit</x:v>
      </x:c>
      <x:c r="E23" s="26" t="str">
        <x:v>AI</x:v>
      </x:c>
      <x:c r="F23" s="26" t="str">
        <x:v>Not Started</x:v>
      </x:c>
      <x:c r="G23" s="26" t="str">
        <x:v>High</x:v>
      </x:c>
      <x:c r="H23" s="26" t="str">
        <x:v>1-month</x:v>
      </x:c>
      <x:c r="I23" s="26" t="str"/>
      <x:c r="J23" s="26" t="str">
        <x:v>Use actual current deadlines</x:v>
      </x:c>
      <x:c r="K23" s="28" t="n">
        <x:v>46268</x:v>
      </x:c>
    </x:row>
    <x:row r="24">
      <x:c r="A24" s="26" t="str">
        <x:v>FUND-002</x:v>
      </x:c>
      <x:c r="B24" s="26" t="str">
        <x:v>Funding</x:v>
      </x:c>
      <x:c r="C24" s="26" t="str">
        <x:v>Select strongest grant cycle</x:v>
      </x:c>
      <x:c r="D24" s="26" t="str">
        <x:v>Decision memo with fit, deadline, eligibility, effort, and IP terms</x:v>
      </x:c>
      <x:c r="E24" s="26" t="str">
        <x:v>Robert/AI</x:v>
      </x:c>
      <x:c r="F24" s="26" t="str">
        <x:v>Not Started</x:v>
      </x:c>
      <x:c r="G24" s="26" t="str">
        <x:v>High</x:v>
      </x:c>
      <x:c r="H24" s="26" t="str">
        <x:v>1-month</x:v>
      </x:c>
      <x:c r="I24" s="26" t="str">
        <x:v>FUND-001</x:v>
      </x:c>
      <x:c r="J24" s="26" t="str">
        <x:v>Begin application after selection</x:v>
      </x:c>
      <x:c r="K24" s="28" t="n">
        <x:v>46268</x:v>
      </x:c>
    </x:row>
    <x:row r="25">
      <x:c r="A25" s="26" t="str">
        <x:v>PART-001</x:v>
      </x:c>
      <x:c r="B25" s="26" t="str">
        <x:v>Partnerships</x:v>
      </x:c>
      <x:c r="C25" s="26" t="str">
        <x:v>Build experimental-use target list</x:v>
      </x:c>
      <x:c r="D25" s="26" t="str">
        <x:v>USDA/APHIS, state agencies, universities, landowners, farms/operators; Mid-Atlantic/Midwest first</x:v>
      </x:c>
      <x:c r="E25" s="26" t="str">
        <x:v>AI</x:v>
      </x:c>
      <x:c r="F25" s="26" t="str">
        <x:v>Not Started</x:v>
      </x:c>
      <x:c r="G25" s="26" t="str">
        <x:v>High</x:v>
      </x:c>
      <x:c r="H25" s="26" t="str">
        <x:v>1-month</x:v>
      </x:c>
      <x:c r="I25" s="26" t="str"/>
      <x:c r="J25" s="26" t="str">
        <x:v>Pre-filing outreach = target identification only</x:v>
      </x:c>
      <x:c r="K25" s="28" t="n">
        <x:v>46268</x:v>
      </x:c>
    </x:row>
    <x:row r="26">
      <x:c r="A26" s="26" t="str">
        <x:v>PART-002</x:v>
      </x:c>
      <x:c r="B26" s="26" t="str">
        <x:v>Partnerships</x:v>
      </x:c>
      <x:c r="C26" s="26" t="str">
        <x:v>Prepare NDA-first outreach package</x:v>
      </x:c>
      <x:c r="D26" s="26" t="str">
        <x:v>Non-confidential teaser + NDA + post-filing technical deck outline</x:v>
      </x:c>
      <x:c r="E26" s="26" t="str">
        <x:v>Robert/Counsel</x:v>
      </x:c>
      <x:c r="F26" s="26" t="str">
        <x:v>Not Started</x:v>
      </x:c>
      <x:c r="G26" s="26" t="str">
        <x:v>Critical</x:v>
      </x:c>
      <x:c r="H26" s="26" t="str">
        <x:v>1-month</x:v>
      </x:c>
      <x:c r="I26" s="26" t="str">
        <x:v>PAT-013</x:v>
      </x:c>
      <x:c r="J26" s="26" t="str">
        <x:v>No substantive disclosure pre-filing without NDA</x:v>
      </x:c>
      <x:c r="K26" s="28" t="n">
        <x:v>46268</x:v>
      </x:c>
    </x:row>
    <x:row r="27">
      <x:c r="A27" s="26" t="str">
        <x:v>GOV-001</x:v>
      </x:c>
      <x:c r="B27" s="26" t="str">
        <x:v>Governance</x:v>
      </x:c>
      <x:c r="C27" s="26" t="str">
        <x:v>Check AI data-retention/training settings</x:v>
      </x:c>
      <x:c r="D27" s="26" t="str">
        <x:v>Document settings and approved disclosure workflow</x:v>
      </x:c>
      <x:c r="E27" s="26" t="str">
        <x:v>Robert</x:v>
      </x:c>
      <x:c r="F27" s="26" t="str">
        <x:v>Not Started</x:v>
      </x:c>
      <x:c r="G27" s="26" t="str">
        <x:v>Critical</x:v>
      </x:c>
      <x:c r="H27" s="26" t="str">
        <x:v>1-week</x:v>
      </x:c>
      <x:c r="I27" s="26" t="str"/>
      <x:c r="J27" s="26" t="str">
        <x:v>Public/confidentiality risk</x:v>
      </x:c>
      <x:c r="K27" s="28" t="n">
        <x:v>46268</x:v>
      </x:c>
    </x:row>
    <x:row r="28">
      <x:c r="A28" s="26" t="str">
        <x:v>GOV-002</x:v>
      </x:c>
      <x:c r="B28" s="26" t="str">
        <x:v>Governance</x:v>
      </x:c>
      <x:c r="C28" s="26" t="str">
        <x:v>Establish repository structure</x:v>
      </x:c>
      <x:c r="D28" s="26" t="str">
        <x:v>/src /tests /docs /ci plus /docs/attic; Git LFS policy for large binaries</x:v>
      </x:c>
      <x:c r="E28" s="26" t="str">
        <x:v>Robert/AI</x:v>
      </x:c>
      <x:c r="F28" s="26" t="str">
        <x:v>Not Started</x:v>
      </x:c>
      <x:c r="G28" s="26" t="str">
        <x:v>Medium</x:v>
      </x:c>
      <x:c r="H28" s="26" t="str">
        <x:v>1-week</x:v>
      </x:c>
      <x:c r="I28" s="26" t="str"/>
      <x:c r="J28" s="26" t="str">
        <x:v>Preserve audit trail and versions</x:v>
      </x:c>
      <x:c r="K28" s="28" t="n">
        <x:v>46268</x:v>
      </x:c>
    </x:row>
    <x:row r="31">
      <x:c r="A31" s="26" t="str">
        <x:v>PAT-014</x:v>
      </x:c>
      <x:c r="B31" s="26" t="str">
        <x:v>Prior Art</x:v>
      </x:c>
      <x:c r="C31" s="26" t="str">
        <x:v>Claim-chart three blocking patent references</x:v>
      </x:c>
      <x:c r="D31" s="26" t="str">
        <x:v>Element-by-element charts for Claim 1 and Claim 20 against US10368539B2, US20210315186A1, and US20140261201A1; identify missing/distinguishing limitations and combination risk</x:v>
      </x:c>
      <x:c r="E31" s="26" t="str">
        <x:v>AI/Robert/Patent counsel</x:v>
      </x:c>
      <x:c r="F31" s="26" t="str">
        <x:v>Not Started</x:v>
      </x:c>
      <x:c r="G31" s="26" t="str">
        <x:v>Critical</x:v>
      </x:c>
      <x:c r="H31" s="26" t="str">
        <x:v>1-week</x:v>
      </x:c>
      <x:c r="I31" s="26" t="str">
        <x:v>PAT-010</x:v>
      </x:c>
      <x:c r="J31" s="26" t="str">
        <x:v>Complete before materially refining the mid-scope independent claim</x:v>
      </x:c>
    </x:row>
  </x:sheetData>
  <x:conditionalFormatting sqref="F2:F28">
    <x:cfRule type="expression" dxfId="2" priority="1">
      <x:formula>F2="Complete"</x:formula>
    </x:cfRule>
    <x:cfRule type="expression" dxfId="3" priority="2">
      <x:formula>F2="Blocked"</x:formula>
    </x:cfRule>
  </x:conditionalFormatting>
  <x:dataValidations count="2">
    <x:dataValidation type="list" sqref="F2:F28">
      <x:formula1>"Not Started,In Progress,Blocked,Complete"</x:formula1>
    </x:dataValidation>
    <x:dataValidation type="list" sqref="G2:G2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eab47c950c4a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8" hidden="0" customWidth="1"/>
    <x:col min="4" max="4" width="30" hidden="0" customWidth="1"/>
    <x:col min="5" max="5" width="48" hidden="0" customWidth="1"/>
    <x:col min="6" max="6" width="10" hidden="0" customWidth="1"/>
    <x:col min="7" max="7" width="12" hidden="0" customWidth="1"/>
    <x:col min="8" max="8" width="18" hidden="0" customWidth="1"/>
    <x:col min="9" max="9" width="14" hidden="0" customWidth="1"/>
  </x:cols>
  <x:sheetData>
    <x:row r="1">
      <x:c r="A1" s="20" t="str">
        <x:v>Risk ID</x:v>
      </x:c>
      <x:c r="B1" s="20" t="str">
        <x:v>Category</x:v>
      </x:c>
      <x:c r="C1" s="20" t="str">
        <x:v>Description</x:v>
      </x:c>
      <x:c r="D1" s="20" t="str">
        <x:v>Affected artifact/claim</x:v>
      </x:c>
      <x:c r="E1" s="20" t="str">
        <x:v>Mitigation / evidence needed</x:v>
      </x:c>
      <x:c r="F1" s="20" t="str">
        <x:v>Blocking</x:v>
      </x:c>
      <x:c r="G1" s="20" t="str">
        <x:v>Status</x:v>
      </x:c>
      <x:c r="H1" s="20" t="str">
        <x:v>Owner</x:v>
      </x:c>
      <x:c r="I1" s="20" t="str">
        <x:v>Last updated</x:v>
      </x:c>
    </x:row>
    <x:row r="2">
      <x:c r="A2" s="26" t="str">
        <x:v>R-112F</x:v>
      </x:c>
      <x:c r="B2" s="26" t="str">
        <x:v>112(f)</x:v>
      </x:c>
      <x:c r="C2" s="26" t="str">
        <x:v>'Lethal means' could be construed as a means-plus-function/functional placeholder without adequate corresponding disclosure.</x:v>
      </x:c>
      <x:c r="D2" s="26" t="str">
        <x:v>Claim 1 / specification</x:v>
      </x:c>
      <x:c r="E2" s="26" t="str">
        <x:v>Choose deliberate MPF support or recite concrete acts/materials/structures; provide embodiments for each lethal modality.</x:v>
      </x:c>
      <x:c r="F2" s="26" t="str">
        <x:v>Yes</x:v>
      </x:c>
      <x:c r="G2" s="26" t="str">
        <x:v>Open</x:v>
      </x:c>
      <x:c r="H2" s="26" t="str">
        <x:v>Robert/Counsel</x:v>
      </x:c>
      <x:c r="I2" s="28" t="n">
        <x:v>46268</x:v>
      </x:c>
    </x:row>
    <x:row r="3">
      <x:c r="A3" s="26" t="str">
        <x:v>R-112B-20</x:v>
      </x:c>
      <x:c r="B3" s="26" t="str">
        <x:v>112(b)</x:v>
      </x:c>
      <x:c r="C3" s="26" t="str">
        <x:v>Claim 20's 'selectively administering' a 'general poison' to 'all members' can read internally inconsistent.</x:v>
      </x:c>
      <x:c r="D3" s="26" t="str">
        <x:v>Claim 20</x:v>
      </x:c>
      <x:c r="E3" s="26" t="str">
        <x:v>Define selectivity as delivery/access/timing or gating, not toxic selectivity; reword consistently.</x:v>
      </x:c>
      <x:c r="F3" s="26" t="str">
        <x:v>Yes</x:v>
      </x:c>
      <x:c r="G3" s="26" t="str">
        <x:v>Open</x:v>
      </x:c>
      <x:c r="H3" s="26" t="str">
        <x:v>Robert/AI</x:v>
      </x:c>
      <x:c r="I3" s="28" t="n">
        <x:v>46268</x:v>
      </x:c>
    </x:row>
    <x:row r="4">
      <x:c r="A4" s="26" t="str">
        <x:v>R-WD-ALL</x:v>
      </x:c>
      <x:c r="B4" s="26" t="str">
        <x:v>written-description gap</x:v>
      </x:c>
      <x:c r="C4" s="26" t="str">
        <x:v>'Identifying when all members are present' lacks disclosed operational criteria.</x:v>
      </x:c>
      <x:c r="D4" s="26" t="str">
        <x:v>Claim 20 / specification</x:v>
      </x:c>
      <x:c r="E4" s="26" t="str">
        <x:v>Describe population roster, unknown-member handling, identity confidence, dwell/window rules, re-entry, sensor coverage, and abort logic.</x:v>
      </x:c>
      <x:c r="F4" s="26" t="str">
        <x:v>Yes</x:v>
      </x:c>
      <x:c r="G4" s="26" t="str">
        <x:v>Open</x:v>
      </x:c>
      <x:c r="H4" s="26" t="str">
        <x:v>Robert</x:v>
      </x:c>
      <x:c r="I4" s="28" t="n">
        <x:v>46268</x:v>
      </x:c>
    </x:row>
    <x:row r="5">
      <x:c r="A5" s="26" t="str">
        <x:v>R-EN-RECOG</x:v>
      </x:c>
      <x:c r="B5" s="26" t="str">
        <x:v>enablement gap</x:v>
      </x:c>
      <x:c r="C5" s="26" t="str">
        <x:v>Recognition pipeline may be stated at result level without data/model/hardware and error handling detail.</x:v>
      </x:c>
      <x:c r="D5" s="26" t="str">
        <x:v>All claims</x:v>
      </x:c>
      <x:c r="E5" s="26" t="str">
        <x:v>Add sensor modalities, preprocessing, model families, training/inference, thresholds, latency, environmental variation, false-positive controls.</x:v>
      </x:c>
      <x:c r="F5" s="26" t="str">
        <x:v>Yes</x:v>
      </x:c>
      <x:c r="G5" s="26" t="str">
        <x:v>Open</x:v>
      </x:c>
      <x:c r="H5" s="26" t="str">
        <x:v>Robert</x:v>
      </x:c>
      <x:c r="I5" s="28" t="n">
        <x:v>46268</x:v>
      </x:c>
    </x:row>
    <x:row r="6">
      <x:c r="A6" s="26" t="str">
        <x:v>R-PA-LSU</x:v>
      </x:c>
      <x:c r="B6" s="26" t="str">
        <x:v>prior-art risk</x:v>
      </x:c>
      <x:c r="C6" s="26" t="str">
        <x:v>Transcript reports LSU testing a feeder that dispenses poisoned bait based on feral-hog voice recognition.</x:v>
      </x:c>
      <x:c r="D6" s="26" t="str">
        <x:v>Claims 1/20 and selective-delivery embodiments</x:v>
      </x:c>
      <x:c r="E6" s="26" t="str">
        <x:v>Trace primary source, patent families, inventors/assignees, dates, claim scope, and combine with sounder-completeness art.</x:v>
      </x:c>
      <x:c r="F6" s="26" t="str">
        <x:v>Yes</x:v>
      </x:c>
      <x:c r="G6" s="26" t="str">
        <x:v>Open</x:v>
      </x:c>
      <x:c r="H6" s="26" t="str">
        <x:v>AI/Robert</x:v>
      </x:c>
      <x:c r="I6" s="28" t="n">
        <x:v>46268</x:v>
      </x:c>
    </x:row>
    <x:row r="7">
      <x:c r="A7" s="26" t="str">
        <x:v>R-PA-SOUNDER</x:v>
      </x:c>
      <x:c r="B7" s="26" t="str">
        <x:v>prior-art risk</x:v>
      </x:c>
      <x:c r="C7" s="26" t="str">
        <x:v>Whole-sounder capture/management is known in trapping practice and may supply motivation for group-completeness logic.</x:v>
      </x:c>
      <x:c r="D7" s="26" t="str">
        <x:v>Claim 20</x:v>
      </x:c>
      <x:c r="E7" s="26" t="str">
        <x:v>Search trap-control patents/literature for remote gates, camera counting, sounder recognition, wait-for-all rules.</x:v>
      </x:c>
      <x:c r="F7" s="26" t="str">
        <x:v>Yes</x:v>
      </x:c>
      <x:c r="G7" s="26" t="str">
        <x:v>Open</x:v>
      </x:c>
      <x:c r="H7" s="26" t="str">
        <x:v>AI/Robert</x:v>
      </x:c>
      <x:c r="I7" s="28" t="n">
        <x:v>46268</x:v>
      </x:c>
    </x:row>
    <x:row r="8">
      <x:c r="A8" s="26" t="str">
        <x:v>R-RESTRICT</x:v>
      </x:c>
      <x:c r="B8" s="26" t="str">
        <x:v>restriction risk</x:v>
      </x:c>
      <x:c r="C8" s="26" t="str">
        <x:v>Broad pest genus and narrow feral-pig species embodiments may be treated as distinct inventions/species.</x:v>
      </x:c>
      <x:c r="D8" s="26" t="str">
        <x:v>Set 1</x:v>
      </x:c>
      <x:c r="E8" s="26" t="str">
        <x:v>Draft shared technical core and dependency ladder; maintain restriction hedge but do not assume examiner grouping.</x:v>
      </x:c>
      <x:c r="F8" s="26" t="str">
        <x:v>No</x:v>
      </x:c>
      <x:c r="G8" s="26" t="str">
        <x:v>Open</x:v>
      </x:c>
      <x:c r="H8" s="26" t="str">
        <x:v>Counsel</x:v>
      </x:c>
      <x:c r="I8" s="28" t="n">
        <x:v>46268</x:v>
      </x:c>
    </x:row>
    <x:row r="9">
      <x:c r="A9" s="26" t="str">
        <x:v>R-REG</x:v>
      </x:c>
      <x:c r="B9" s="26" t="str">
        <x:v>regulatory/deployment issue</x:v>
      </x:c>
      <x:c r="C9" s="26" t="str">
        <x:v>Poison/pesticide/wildlife-control deployment may require federal/state approvals and could constrain embodiments/business model.</x:v>
      </x:c>
      <x:c r="D9" s="26" t="str">
        <x:v>Product / pilots</x:v>
      </x:c>
      <x:c r="E9" s="26" t="str">
        <x:v>Separate patent scope from deployment claims; build regulatory map; do not imply lawful field use without approvals.</x:v>
      </x:c>
      <x:c r="F9" s="26" t="str">
        <x:v>No</x:v>
      </x:c>
      <x:c r="G9" s="26" t="str">
        <x:v>Open</x:v>
      </x:c>
      <x:c r="H9" s="26" t="str">
        <x:v>Regulatory counsel</x:v>
      </x:c>
      <x:c r="I9" s="28" t="n">
        <x:v>46268</x:v>
      </x:c>
    </x:row>
    <x:row r="10">
      <x:c r="A10" s="26" t="str">
        <x:v>R-INVENT</x:v>
      </x:c>
      <x:c r="B10" s="26" t="str">
        <x:v>inventorship/ownership issue</x:v>
      </x:c>
      <x:c r="C10" s="26" t="str">
        <x:v>Conception contributions and ownership not yet fixed in writing.</x:v>
      </x:c>
      <x:c r="D10" s="26" t="str">
        <x:v>All IP / company</x:v>
      </x:c>
      <x:c r="E10" s="26" t="str">
        <x:v>Prepare conception chronology and counsel-reviewed assignment plan before equity/assignment decisions.</x:v>
      </x:c>
      <x:c r="F10" s="26" t="str">
        <x:v>Yes</x:v>
      </x:c>
      <x:c r="G10" s="26" t="str">
        <x:v>Open</x:v>
      </x:c>
      <x:c r="H10" s="26" t="str">
        <x:v>Robert/Counsel</x:v>
      </x:c>
      <x:c r="I10" s="28" t="n">
        <x:v>46268</x:v>
      </x:c>
    </x:row>
    <x:row r="11">
      <x:c r="A11" s="26" t="str">
        <x:v>R-DISC</x:v>
      </x:c>
      <x:c r="B11" s="26" t="str">
        <x:v>disclosure risk</x:v>
      </x:c>
      <x:c r="C11" s="26" t="str">
        <x:v>External discussion before filing may create loss-of-rights/foreign-filing risks.</x:v>
      </x:c>
      <x:c r="D11" s="26" t="str">
        <x:v>All IP</x:v>
      </x:c>
      <x:c r="E11" s="26" t="str">
        <x:v>NDA first; non-confidential teaser before filing; log disclosures.</x:v>
      </x:c>
      <x:c r="F11" s="26" t="str">
        <x:v>Yes</x:v>
      </x:c>
      <x:c r="G11" s="26" t="str">
        <x:v>Open</x:v>
      </x:c>
      <x:c r="H11" s="26" t="str">
        <x:v>Robert</x:v>
      </x:c>
      <x:c r="I11" s="28" t="n">
        <x:v>46268</x:v>
      </x:c>
    </x:row>
    <x:row r="12">
      <x:c r="A12" s="26" t="str">
        <x:v>R-PA-VIDEO-KILL</x:v>
      </x:c>
      <x:c r="B12" s="26" t="str">
        <x:v>prior-art risk</x:v>
      </x:c>
      <x:c r="C12" s="26" t="str">
        <x:v>US10368539B2: camera/image recognition identifies a target species and energizes electrodes to euthanize the matching animal; materially overlaps generic video-recognition + lethal-means scope.</x:v>
      </x:c>
      <x:c r="D12" s="26" t="str">
        <x:v>Claim 1; mid-scope independent</x:v>
      </x:c>
      <x:c r="E12" s="26" t="str">
        <x:v>Prepare element-by-element claim chart; identify technical distinctions before further broad-claim refinement.</x:v>
      </x:c>
      <x:c r="F12" s="26" t="str">
        <x:v>Yes</x:v>
      </x:c>
      <x:c r="G12" s="26" t="str">
        <x:v>Open</x:v>
      </x:c>
      <x:c r="H12" s="26" t="str">
        <x:v>Robert / patent counsel</x:v>
      </x:c>
      <x:c r="I12" s="28" t="n">
        <x:v>46268</x:v>
      </x:c>
      <x:c r="J12" s="28"/>
    </x:row>
    <x:row r="13">
      <x:c r="A13" s="26" t="str">
        <x:v>R-PA-USDA-AV</x:v>
      </x:c>
      <x:c r="B13" s="26" t="str">
        <x:v>prior-art risk</x:v>
      </x:c>
      <x:c r="C13" s="26" t="str">
        <x:v>US20210315186A1 (USDA): audio/visual target-species recognition autonomously enables wildlife-management devices, including toxicant delivery; feral swine are expressly contemplated.</x:v>
      </x:c>
      <x:c r="D13" s="26" t="str">
        <x:v>Claim 1; mid-scope independent; Claim 20</x:v>
      </x:c>
      <x:c r="E13" s="26" t="str">
        <x:v>Claim-chart claims 1, 7-13, 17-18 and feral-swine embodiments; search family/citations in USPTO Patent Public Search.</x:v>
      </x:c>
      <x:c r="F13" s="26" t="str">
        <x:v>Yes</x:v>
      </x:c>
      <x:c r="G13" s="26" t="str">
        <x:v>Open</x:v>
      </x:c>
      <x:c r="H13" s="26" t="str">
        <x:v>Robert / patent counsel</x:v>
      </x:c>
      <x:c r="I13" s="28" t="n">
        <x:v>46268</x:v>
      </x:c>
      <x:c r="J13" s="28"/>
    </x:row>
    <x:row r="14">
      <x:c r="A14" s="26" t="str">
        <x:v>R-PA-BOAR-FEEDER</x:v>
      </x:c>
      <x:c r="B14" s="26" t="str">
        <x:v>prior-art risk</x:v>
      </x:c>
      <x:c r="C14" s="26" t="str">
        <x:v>US20140261201A1: species-selective wild-boar feeding systems contemplate poison for population control/local-population elimination, creating risk around selective delivery of generally toxic bait.</x:v>
      </x:c>
      <x:c r="D14" s="26" t="str">
        <x:v>Claim 20 and dependent-claim space</x:v>
      </x:c>
      <x:c r="E14" s="26" t="str">
        <x:v>Claim-chart feeder gating, species selectivity, poison administration, and population-control disclosures; search continuations/citations.</x:v>
      </x:c>
      <x:c r="F14" s="26" t="str">
        <x:v>Yes</x:v>
      </x:c>
      <x:c r="G14" s="26" t="str">
        <x:v>Open</x:v>
      </x:c>
      <x:c r="H14" s="26" t="str">
        <x:v>Robert / patent counsel</x:v>
      </x:c>
      <x:c r="I14" s="28" t="n">
        <x:v>46268</x:v>
      </x:c>
      <x:c r="J14" s="28"/>
    </x:row>
  </x:sheetData>
  <x:conditionalFormatting sqref="F2:F11">
    <x:cfRule type="expression" dxfId="4" priority="1">
      <x:formula>F2="Yes"</x:formula>
    </x:cfRule>
  </x:conditionalFormatting>
  <x:conditionalFormatting sqref="G2:G11">
    <x:cfRule type="expression" dxfId="5" priority="2">
      <x:formula>G2="Resolved"</x:formula>
    </x:cfRule>
  </x:conditionalFormatting>
  <x:dataValidations count="2">
    <x:dataValidation type="list" sqref="F2:F11">
      <x:formula1>"Yes,No"</x:formula1>
    </x:dataValidation>
    <x:dataValidation type="list" sqref="G2:G11">
      <x:formula1>"Open,Mitigating,Resolved"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eda15b0fcd4a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4" hidden="0" customWidth="1"/>
    <x:col min="5" max="5" width="18" hidden="0" customWidth="1"/>
    <x:col min="6" max="6" width="50" hidden="0" customWidth="1"/>
    <x:col min="7" max="7" width="40" hidden="0" customWidth="1"/>
    <x:col min="8" max="8" width="14" hidden="0" customWidth="1"/>
    <x:col min="9" max="9" width="55" hidden="0" customWidth="1"/>
  </x:cols>
  <x:sheetData>
    <x:row r="1">
      <x:c r="A1" s="20" t="str">
        <x:v>Source ID</x:v>
      </x:c>
      <x:c r="B1" s="20" t="str">
        <x:v>Type</x:v>
      </x:c>
      <x:c r="C1" s="20" t="str">
        <x:v>Title / description</x:v>
      </x:c>
      <x:c r="D1" s="20" t="str">
        <x:v>Date</x:v>
      </x:c>
      <x:c r="E1" s="20" t="str">
        <x:v>Primary/secondary</x:v>
      </x:c>
      <x:c r="F1" s="20" t="str">
        <x:v>Key relevance</x:v>
      </x:c>
      <x:c r="G1" s="20" t="str">
        <x:v>Action</x:v>
      </x:c>
      <x:c r="H1" s="20" t="str">
        <x:v>Status</x:v>
      </x:c>
      <x:c r="I1" s="20" t="str">
        <x:v>Source / path</x:v>
      </x:c>
    </x:row>
    <x:row r="2">
      <x:c r="A2" s="26" t="str">
        <x:v>SRC-001</x:v>
      </x:c>
      <x:c r="B2" s="26" t="str">
        <x:v>Project file</x:v>
      </x:c>
      <x:c r="C2" s="26" t="str">
        <x:v>John Oliver Special Report on Feral Pigs - transcript</x:v>
      </x:c>
      <x:c r="D2" s="26" t="str">
        <x:v>2026-06-28</x:v>
      </x:c>
      <x:c r="E2" s="26" t="str">
        <x:v>Secondary / lead source</x:v>
      </x:c>
      <x:c r="F2" s="26" t="str">
        <x:v>Problem scale; sounder trapping; poison risks; LSU voice-recognition poisoned-bait feeder; contraceptive/hunting/trapping approaches</x:v>
      </x:c>
      <x:c r="G2" s="26" t="str">
        <x:v>Trace each technical assertion to primary source and prior art</x:v>
      </x:c>
      <x:c r="H2" s="26" t="str">
        <x:v>Ingested</x:v>
      </x:c>
      <x:c r="I2" s="26" t="str">
        <x:v>/mnt/data/2026-06-28 John Oliver Special Report on Feral Pigs – Transcript.docx</x:v>
      </x:c>
    </x:row>
    <x:row r="3">
      <x:c r="A3" s="26" t="str">
        <x:v>SRC-002</x:v>
      </x:c>
      <x:c r="B3" s="26" t="str">
        <x:v>USPTO</x:v>
      </x:c>
      <x:c r="C3" s="26" t="str">
        <x:v>MPEP Ninth Edition, Revision 01.2024</x:v>
      </x:c>
      <x:c r="D3" s="26" t="str">
        <x:v>2024-11</x:v>
      </x:c>
      <x:c r="E3" s="26" t="str">
        <x:v>Primary agency manual</x:v>
      </x:c>
      <x:c r="F3" s="26" t="str">
        <x:v>Baseline examination procedure; current only through 2024-01-31</x:v>
      </x:c>
      <x:c r="G3" s="26" t="str">
        <x:v>Use with subsequent publications + current laws/rules</x:v>
      </x:c>
      <x:c r="H3" s="26" t="str">
        <x:v>Indexed</x:v>
      </x:c>
      <x:c r="I3" s="26" t="str">
        <x:v>https://www.uspto.gov/web/offices/pac/mpep/</x:v>
      </x:c>
    </x:row>
    <x:row r="4">
      <x:c r="A4" s="26" t="str">
        <x:v>SRC-003</x:v>
      </x:c>
      <x:c r="B4" s="26" t="str">
        <x:v>USPTO</x:v>
      </x:c>
      <x:c r="C4" s="26" t="str">
        <x:v>Subsequent Publications (After January 31, 2024) - July 2026 Update</x:v>
      </x:c>
      <x:c r="D4" s="26" t="str">
        <x:v>2026-07</x:v>
      </x:c>
      <x:c r="E4" s="26" t="str">
        <x:v>Primary agency update index</x:v>
      </x:c>
      <x:c r="F4" s="26" t="str">
        <x:v>Official list of post-cutoff changes under consideration for future MPEP; identifies superseding materials</x:v>
      </x:c>
      <x:c r="G4" s="26" t="str">
        <x:v>Use as authority manifest</x:v>
      </x:c>
      <x:c r="H4" s="26" t="str">
        <x:v>Indexed</x:v>
      </x:c>
      <x:c r="I4" s="26" t="str">
        <x:v>https://www.uspto.gov/web/offices/pac/mpep/subsequent-publications.pdf</x:v>
      </x:c>
    </x:row>
    <x:row r="5">
      <x:c r="A5" s="26" t="str">
        <x:v>SRC-PA-001</x:v>
      </x:c>
      <x:c r="B5" s="26" t="str">
        <x:v>Patent publication</x:v>
      </x:c>
      <x:c r="C5" s="26" t="str">
        <x:v>US10368539B2 - Species specific extermination device</x:v>
      </x:c>
      <x:c r="D5" s="26" t="str">
        <x:v>2013-05-09 priority; 2019-08-06 grant</x:v>
      </x:c>
      <x:c r="E5" s="26" t="str">
        <x:v>Primary patent document</x:v>
      </x:c>
      <x:c r="F5" s="26" t="str">
        <x:v>Camera/image recognition used to gate lethal electrical actuation; major Claim 1 patentability risk.</x:v>
      </x:c>
      <x:c r="G5" s="26" t="str">
        <x:v>Claim-chart claims and family; verify prosecution/citations in USPTO Patent Public Search.</x:v>
      </x:c>
      <x:c r="H5" s="26" t="str">
        <x:v>Reviewed - triage</x:v>
      </x:c>
      <x:c r="I5" s="26" t="str">
        <x:v>https://patents.google.com/patent/US10368539B2/en</x:v>
      </x:c>
      <x:c r="J5" s="28"/>
    </x:row>
    <x:row r="6">
      <x:c r="A6" s="26" t="str">
        <x:v>SRC-PA-002</x:v>
      </x:c>
      <x:c r="B6" s="26" t="str">
        <x:v>Patent publication</x:v>
      </x:c>
      <x:c r="C6" s="26" t="str">
        <x:v>US20210315186A1 - Intelligent dual sensory species-specific recognition trigger system</x:v>
      </x:c>
      <x:c r="D6" s="26" t="str">
        <x:v>2020-04-14 priority; 2021-10-14 publication</x:v>
      </x:c>
      <x:c r="E6" s="26" t="str">
        <x:v>Primary patent document</x:v>
      </x:c>
      <x:c r="F6" s="26" t="str">
        <x:v>USDA audio+visual species recognition; autonomous wildlife-device activation; toxicants; feral swine.</x:v>
      </x:c>
      <x:c r="G6" s="26" t="str">
        <x:v>Claim-chart claims 1, 7-13, 17-18 and embodiments; verify family/citations in USPTO Patent Public Search.</x:v>
      </x:c>
      <x:c r="H6" s="26" t="str">
        <x:v>Reviewed - triage</x:v>
      </x:c>
      <x:c r="I6" s="26" t="str">
        <x:v>https://patents.google.com/patent/US20210315186A1/en</x:v>
      </x:c>
      <x:c r="J6" s="28"/>
    </x:row>
    <x:row r="7">
      <x:c r="A7" s="26" t="str">
        <x:v>SRC-PA-003</x:v>
      </x:c>
      <x:c r="B7" s="26" t="str">
        <x:v>Patent publication</x:v>
      </x:c>
      <x:c r="C7" s="26" t="str">
        <x:v>US20140261201A1 / US9295225B2 - Species specific feeder</x:v>
      </x:c>
      <x:c r="D7" s="26" t="str">
        <x:v>2013-03-15 priority; 2014-09-18 publication</x:v>
      </x:c>
      <x:c r="E7" s="26" t="str">
        <x:v>Primary patent document</x:v>
      </x:c>
      <x:c r="F7" s="26" t="str">
        <x:v>Species-selective wild-boar feeder; poison/population-control composition; local-population elimination.</x:v>
      </x:c>
      <x:c r="G7" s="26" t="str">
        <x:v>Claim-chart species gating, poison delivery, and local-population language; search continuations/citations.</x:v>
      </x:c>
      <x:c r="H7" s="26" t="str">
        <x:v>Reviewed - triage</x:v>
      </x:c>
      <x:c r="I7" s="26" t="str">
        <x:v>https://patents.google.com/patent/US20140261201A1/en</x:v>
      </x:c>
      <x:c r="J7" s="28"/>
    </x:row>
    <x:row r="8">
      <x:c r="A8" s="26" t="str">
        <x:v>SRC-007</x:v>
      </x:c>
      <x:c r="B8" s="26" t="str">
        <x:v>USPTO</x:v>
      </x:c>
      <x:c r="C8" s="26" t="str">
        <x:v>MPEP 211 / provisional priority support</x:v>
      </x:c>
      <x:c r="D8" s="26" t="str">
        <x:v>current MPEP</x:v>
      </x:c>
      <x:c r="E8" s="26" t="str">
        <x:v>Primary agency manual</x:v>
      </x:c>
      <x:c r="F8" s="26" t="str">
        <x:v>Later claim receives provisional benefit only if provisional adequately supports and enables subject matter</x:v>
      </x:c>
      <x:c r="G8" s="26" t="str">
        <x:v>Use as drafting gate</x:v>
      </x:c>
      <x:c r="H8" s="26" t="str">
        <x:v>Indexed</x:v>
      </x:c>
      <x:c r="I8" s="26" t="str">
        <x:v>https://www.uspto.gov/web/offices/pac/mpep/s211.html</x:v>
      </x:c>
    </x:row>
  </x:sheetData>
  <x:pageMargins left="0.7" right="0.7" top="0.75" bottom="0.75" header="0.3" footer="0.3"/>
  <x:tableParts count="1">
    <x:tablePart xmlns:r="http://schemas.openxmlformats.org/officeDocument/2006/relationships" r:id="Rcbb721adc7e2420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52" hidden="0" customWidth="1"/>
    <x:col min="4" max="4" width="28" hidden="0" customWidth="1"/>
    <x:col min="5" max="5" width="20" hidden="0" customWidth="1"/>
    <x:col min="6" max="6" width="34" hidden="0" customWidth="1"/>
    <x:col min="7" max="7" width="36" hidden="0" customWidth="1"/>
    <x:col min="8" max="8" width="55" hidden="0" customWidth="1"/>
  </x:cols>
  <x:sheetData>
    <x:row r="1">
      <x:c r="A1" s="20" t="str">
        <x:v>Date</x:v>
      </x:c>
      <x:c r="B1" s="20" t="str">
        <x:v>Category</x:v>
      </x:c>
      <x:c r="C1" s="20" t="str">
        <x:v>Authority / title</x:v>
      </x:c>
      <x:c r="D1" s="20" t="str">
        <x:v>Citation / type</x:v>
      </x:c>
      <x:c r="E1" s="20" t="str">
        <x:v>Effective / applicable</x:v>
      </x:c>
      <x:c r="F1" s="20" t="str">
        <x:v>Status relative to MPEP</x:v>
      </x:c>
      <x:c r="G1" s="20" t="str">
        <x:v>Project relevance</x:v>
      </x:c>
      <x:c r="H1" s="20" t="str">
        <x:v>Official source</x:v>
      </x:c>
    </x:row>
    <x:row r="2">
      <x:c r="A2" s="26" t="str">
        <x:v>2024-02-27</x:v>
      </x:c>
      <x:c r="B2" s="26" t="str">
        <x:v>Patent notice/guidance</x:v>
      </x:c>
      <x:c r="C2" s="26" t="str">
        <x:v>Updated Guidance for Making a Proper Determination of Obviousness</x:v>
      </x:c>
      <x:c r="D2" s="26" t="str">
        <x:v>89 FR 14449 + examiner memorandum</x:v>
      </x:c>
      <x:c r="E2" s="26" t="str">
        <x:v>2024-02-27</x:v>
      </x:c>
      <x:c r="F2" s="26" t="str">
        <x:v>Post-cutoff; future-MPEP candidate</x:v>
      </x:c>
      <x:c r="G2" s="26" t="str">
        <x:v>High - 103 obviousness analysis</x:v>
      </x:c>
      <x:c r="H2" s="26" t="str">
        <x:v>https://www.uspto.gov/patents/laws/examination-policy/memoranda-examining-corps</x:v>
      </x:c>
    </x:row>
    <x:row r="3">
      <x:c r="A3" s="26" t="str">
        <x:v>2024-03-18</x:v>
      </x:c>
      <x:c r="B3" s="26" t="str">
        <x:v>Patent notice/guidance</x:v>
      </x:c>
      <x:c r="C3" s="26" t="str">
        <x:v>Resources for Examining Means-Plus-Function and Step-Plus-Function Claim Limitations</x:v>
      </x:c>
      <x:c r="D3" s="26" t="str">
        <x:v>89 FR 19817 + examiner memorandum</x:v>
      </x:c>
      <x:c r="E3" s="26" t="str">
        <x:v>2024-03-20 notice</x:v>
      </x:c>
      <x:c r="F3" s="26" t="str">
        <x:v>Post-cutoff; future-MPEP candidate</x:v>
      </x:c>
      <x:c r="G3" s="26" t="str">
        <x:v>Critical - Claim 1 'lethal means'</x:v>
      </x:c>
      <x:c r="H3" s="26" t="str">
        <x:v>https://www.uspto.gov/patents/laws/examination-policy/memoranda-examining-corps</x:v>
      </x:c>
    </x:row>
    <x:row r="4">
      <x:c r="A4" s="26" t="str">
        <x:v>2024-03-22</x:v>
      </x:c>
      <x:c r="B4" s="26" t="str">
        <x:v>Patent rule</x:v>
      </x:c>
      <x:c r="C4" s="26" t="str">
        <x:v>Signature Requirements Related to Acceptance of Electronic Signatures for Patent Correspondence</x:v>
      </x:c>
      <x:c r="D4" s="26" t="str">
        <x:v>89 FR 20321 + memorandum/examples</x:v>
      </x:c>
      <x:c r="E4" s="26" t="str">
        <x:v>2024-03-22</x:v>
      </x:c>
      <x:c r="F4" s="26" t="str">
        <x:v>Post-cutoff rule</x:v>
      </x:c>
      <x:c r="G4" s="26" t="str">
        <x:v>Low/filing administration</x:v>
      </x:c>
      <x:c r="H4" s="26" t="str">
        <x:v>https://www.uspto.gov/web/offices/pac/mpep/subsequent-publications.pdf</x:v>
      </x:c>
    </x:row>
    <x:row r="5">
      <x:c r="A5" s="26" t="str">
        <x:v>2024-03-29</x:v>
      </x:c>
      <x:c r="B5" s="26" t="str">
        <x:v>Patent rule</x:v>
      </x:c>
      <x:c r="C5" s="26" t="str">
        <x:v>Electronic Submission of Federal Circuit Appeal/Judicial Review Notices</x:v>
      </x:c>
      <x:c r="D5" s="26" t="str">
        <x:v>89 FR 22084</x:v>
      </x:c>
      <x:c r="E5" s="26" t="str">
        <x:v>2024-03-29</x:v>
      </x:c>
      <x:c r="F5" s="26" t="str">
        <x:v>Post-cutoff rule</x:v>
      </x:c>
      <x:c r="G5" s="26" t="str">
        <x:v>Low</x:v>
      </x:c>
      <x:c r="H5" s="26" t="str">
        <x:v>https://www.uspto.gov/web/offices/pac/mpep/subsequent-publications.pdf</x:v>
      </x:c>
    </x:row>
    <x:row r="6">
      <x:c r="A6" s="26" t="str">
        <x:v>2024-05-03</x:v>
      </x:c>
      <x:c r="B6" s="26" t="str">
        <x:v>Patent rule</x:v>
      </x:c>
      <x:c r="C6" s="26" t="str">
        <x:v>Adoption of Updated WIPO Standard ST.26; Revision to Incorporation by Reference</x:v>
      </x:c>
      <x:c r="D6" s="26" t="str">
        <x:v>89 FR 36677</x:v>
      </x:c>
      <x:c r="E6" s="26" t="str">
        <x:v>2024-07-01</x:v>
      </x:c>
      <x:c r="F6" s="26" t="str">
        <x:v>Post-cutoff rule</x:v>
      </x:c>
      <x:c r="G6" s="26" t="str">
        <x:v>Low unless sequence listings</x:v>
      </x:c>
      <x:c r="H6" s="26" t="str">
        <x:v>https://www.uspto.gov/web/offices/pac/mpep/subsequent-publications.pdf</x:v>
      </x:c>
    </x:row>
    <x:row r="7">
      <x:c r="A7" s="26" t="str">
        <x:v>2024-06-12</x:v>
      </x:c>
      <x:c r="B7" s="26" t="str">
        <x:v>PTAB rule</x:v>
      </x:c>
      <x:c r="C7" s="26" t="str">
        <x:v>Pre-Issuance Internal Circulation and Review of PTAB Decisions</x:v>
      </x:c>
      <x:c r="D7" s="26" t="str">
        <x:v>89 FR 49808</x:v>
      </x:c>
      <x:c r="E7" s="26" t="str">
        <x:v>2024-07-12</x:v>
      </x:c>
      <x:c r="F7" s="26" t="str">
        <x:v>Post-cutoff rule</x:v>
      </x:c>
      <x:c r="G7" s="26" t="str">
        <x:v>Low</x:v>
      </x:c>
      <x:c r="H7" s="26" t="str">
        <x:v>https://www.uspto.gov/web/offices/pac/mpep/subsequent-publications.pdf</x:v>
      </x:c>
    </x:row>
    <x:row r="8">
      <x:c r="A8" s="26" t="str">
        <x:v>2024-09-18</x:v>
      </x:c>
      <x:c r="B8" s="26" t="str">
        <x:v>PTAB rule</x:v>
      </x:c>
      <x:c r="C8" s="26" t="str">
        <x:v>Motion To Amend Practice in AIA Trial Proceedings</x:v>
      </x:c>
      <x:c r="D8" s="26" t="str">
        <x:v>89 FR 76421</x:v>
      </x:c>
      <x:c r="E8" s="26" t="str">
        <x:v>2024-10-18</x:v>
      </x:c>
      <x:c r="F8" s="26" t="str">
        <x:v>Post-cutoff rule</x:v>
      </x:c>
      <x:c r="G8" s="26" t="str">
        <x:v>Low</x:v>
      </x:c>
      <x:c r="H8" s="26" t="str">
        <x:v>https://www.uspto.gov/web/offices/pac/mpep/subsequent-publications.pdf</x:v>
      </x:c>
    </x:row>
    <x:row r="9">
      <x:c r="A9" s="26" t="str">
        <x:v>2024-10-01</x:v>
      </x:c>
      <x:c r="B9" s="26" t="str">
        <x:v>PTAB rule</x:v>
      </x:c>
      <x:c r="C9" s="26" t="str">
        <x:v>Director Review of PTAB Decisions</x:v>
      </x:c>
      <x:c r="D9" s="26" t="str">
        <x:v>89 FR 79744</x:v>
      </x:c>
      <x:c r="E9" s="26" t="str">
        <x:v>2024-10-31</x:v>
      </x:c>
      <x:c r="F9" s="26" t="str">
        <x:v>Post-cutoff rule</x:v>
      </x:c>
      <x:c r="G9" s="26" t="str">
        <x:v>Low</x:v>
      </x:c>
      <x:c r="H9" s="26" t="str">
        <x:v>https://www.uspto.gov/web/offices/pac/mpep/subsequent-publications.pdf</x:v>
      </x:c>
    </x:row>
    <x:row r="10">
      <x:c r="A10" s="26" t="str">
        <x:v>2024-10-10</x:v>
      </x:c>
      <x:c r="B10" s="26" t="str">
        <x:v>PTAB rule</x:v>
      </x:c>
      <x:c r="C10" s="26" t="str">
        <x:v>Expanding Opportunities To Appear Before PTAB</x:v>
      </x:c>
      <x:c r="D10" s="26" t="str">
        <x:v>89 FR 82172</x:v>
      </x:c>
      <x:c r="E10" s="26" t="str">
        <x:v>2024-11-12</x:v>
      </x:c>
      <x:c r="F10" s="26" t="str">
        <x:v>Post-cutoff rule</x:v>
      </x:c>
      <x:c r="G10" s="26" t="str">
        <x:v>Low</x:v>
      </x:c>
      <x:c r="H10" s="26" t="str">
        <x:v>https://www.uspto.gov/web/offices/pac/mpep/subsequent-publications.pdf</x:v>
      </x:c>
    </x:row>
    <x:row r="11">
      <x:c r="A11" s="26" t="str">
        <x:v>2024-11-20</x:v>
      </x:c>
      <x:c r="B11" s="26" t="str">
        <x:v>Patent rule</x:v>
      </x:c>
      <x:c r="C11" s="26" t="str">
        <x:v>Setting and Adjusting Patent Fees During FY2025</x:v>
      </x:c>
      <x:c r="D11" s="26" t="str">
        <x:v>89 FR 91898; correction 90 FR 3036</x:v>
      </x:c>
      <x:c r="E11" s="26" t="str">
        <x:v>2025-01-19</x:v>
      </x:c>
      <x:c r="F11" s="26" t="str">
        <x:v>Post-cutoff rule</x:v>
      </x:c>
      <x:c r="G11" s="26" t="str">
        <x:v>Medium - filing/prosecution budget</x:v>
      </x:c>
      <x:c r="H11" s="26" t="str">
        <x:v>https://www.uspto.gov/web/offices/pac/mpep/subsequent-publications.pdf</x:v>
      </x:c>
    </x:row>
    <x:row r="12">
      <x:c r="A12" s="26" t="str">
        <x:v>2024-04-11</x:v>
      </x:c>
      <x:c r="B12" s="26" t="str">
        <x:v>Practice guidance</x:v>
      </x:c>
      <x:c r="C12" s="26" t="str">
        <x:v>Guidance on Use of Artificial Intelligence-Based Tools in Practice Before USPTO</x:v>
      </x:c>
      <x:c r="D12" s="26" t="str">
        <x:v>89 FR 25609</x:v>
      </x:c>
      <x:c r="E12" s="26" t="str">
        <x:v>2024-04-11</x:v>
      </x:c>
      <x:c r="F12" s="26" t="str">
        <x:v>Post-cutoff guidance</x:v>
      </x:c>
      <x:c r="G12" s="26" t="str">
        <x:v>High - AI-assisted drafting/use</x:v>
      </x:c>
      <x:c r="H12" s="26" t="str">
        <x:v>https://www.uspto.gov/initiatives/artificial-intelligence/artificial-intelligence-resources</x:v>
      </x:c>
    </x:row>
    <x:row r="13">
      <x:c r="A13" s="26" t="str">
        <x:v>2024-07-17</x:v>
      </x:c>
      <x:c r="B13" s="26" t="str">
        <x:v>Eligibility guidance</x:v>
      </x:c>
      <x:c r="C13" s="26" t="str">
        <x:v>2024 Guidance Update on Patent Subject Matter Eligibility, Including on Artificial Intelligence</x:v>
      </x:c>
      <x:c r="D13" s="26" t="str">
        <x:v>89 FR 58128 + 2024 AI SME examples + memorandum</x:v>
      </x:c>
      <x:c r="E13" s="26" t="str">
        <x:v>2024-07-17</x:v>
      </x:c>
      <x:c r="F13" s="26" t="str">
        <x:v>Post-cutoff guidance</x:v>
      </x:c>
      <x:c r="G13" s="26" t="str">
        <x:v>High - recognition/AI claims</x:v>
      </x:c>
      <x:c r="H13" s="26" t="str">
        <x:v>https://www.uspto.gov/patents/laws/examination-policy/subject-matter-eligibility</x:v>
      </x:c>
    </x:row>
    <x:row r="14">
      <x:c r="A14" s="26" t="str">
        <x:v>2025-01-14</x:v>
      </x:c>
      <x:c r="B14" s="26" t="str">
        <x:v>MPEP superseding memo</x:v>
      </x:c>
      <x:c r="C14" s="26" t="str">
        <x:v>Revised Form Paragraphs for Design Patents and Applications</x:v>
      </x:c>
      <x:c r="D14" s="26" t="str">
        <x:v>TC 2900 memorandum</x:v>
      </x:c>
      <x:c r="E14" s="26" t="str">
        <x:v>2025-01-14</x:v>
      </x:c>
      <x:c r="F14" s="26" t="str">
        <x:v>Explicitly supersedes portions of current MPEP</x:v>
      </x:c>
      <x:c r="G14" s="26" t="str">
        <x:v>Low</x:v>
      </x:c>
      <x:c r="H14" s="26" t="str">
        <x:v>https://www.uspto.gov/web/offices/pac/mpep/</x:v>
      </x:c>
    </x:row>
    <x:row r="15">
      <x:c r="A15" s="26" t="str">
        <x:v>2025-01-17</x:v>
      </x:c>
      <x:c r="B15" s="26" t="str">
        <x:v>MPEP superseding memo</x:v>
      </x:c>
      <x:c r="C15" s="26" t="str">
        <x:v>Revised/New Form Paragraphs re FY2025 Patent Fees</x:v>
      </x:c>
      <x:c r="D15" s="26" t="str">
        <x:v>examiner memorandum</x:v>
      </x:c>
      <x:c r="E15" s="26" t="str">
        <x:v>2025-01-17</x:v>
      </x:c>
      <x:c r="F15" s="26" t="str">
        <x:v>Explicitly supersedes portions of current MPEP</x:v>
      </x:c>
      <x:c r="G15" s="26" t="str">
        <x:v>Medium</x:v>
      </x:c>
      <x:c r="H15" s="26" t="str">
        <x:v>https://www.uspto.gov/web/offices/pac/mpep/</x:v>
      </x:c>
    </x:row>
    <x:row r="16">
      <x:c r="A16" s="26" t="str">
        <x:v>2025-06-10</x:v>
      </x:c>
      <x:c r="B16" s="26" t="str">
        <x:v>Patent rule</x:v>
      </x:c>
      <x:c r="C16" s="26" t="str">
        <x:v>Discontinuation of Accelerated Examination Program for Utility Applications</x:v>
      </x:c>
      <x:c r="D16" s="26" t="str">
        <x:v>90 FR 24324</x:v>
      </x:c>
      <x:c r="E16" s="26" t="str">
        <x:v>2025-07-10</x:v>
      </x:c>
      <x:c r="F16" s="26" t="str">
        <x:v>Post-cutoff rule</x:v>
      </x:c>
      <x:c r="G16" s="26" t="str">
        <x:v>Medium - prosecution planning</x:v>
      </x:c>
      <x:c r="H16" s="26" t="str">
        <x:v>https://www.uspto.gov/web/offices/pac/mpep/subsequent-publications.pdf</x:v>
      </x:c>
    </x:row>
    <x:row r="17">
      <x:c r="A17" s="26" t="str">
        <x:v>2025-07-08</x:v>
      </x:c>
      <x:c r="B17" s="26" t="str">
        <x:v>Patent rule</x:v>
      </x:c>
      <x:c r="C17" s="26" t="str">
        <x:v>2025 Increase of Annual Limit on Accepted Requests for Prioritized Examination</x:v>
      </x:c>
      <x:c r="D17" s="26" t="str">
        <x:v>90 FR 29990</x:v>
      </x:c>
      <x:c r="E17" s="26" t="str">
        <x:v>2025-07-08</x:v>
      </x:c>
      <x:c r="F17" s="26" t="str">
        <x:v>Post-cutoff rule</x:v>
      </x:c>
      <x:c r="G17" s="26" t="str">
        <x:v>Medium - Track One planning</x:v>
      </x:c>
      <x:c r="H17" s="26" t="str">
        <x:v>https://www.uspto.gov/web/offices/pac/mpep/subsequent-publications.pdf</x:v>
      </x:c>
    </x:row>
    <x:row r="18">
      <x:c r="A18" s="26" t="str">
        <x:v>2025-08-04</x:v>
      </x:c>
      <x:c r="B18" s="26" t="str">
        <x:v>Eligibility guidance</x:v>
      </x:c>
      <x:c r="C18" s="26" t="str">
        <x:v>Reminders on evaluating subject matter eligibility under 35 USC 101</x:v>
      </x:c>
      <x:c r="D18" s="26" t="str">
        <x:v>examiner memorandum</x:v>
      </x:c>
      <x:c r="E18" s="26" t="str">
        <x:v>2025-08-04</x:v>
      </x:c>
      <x:c r="F18" s="26" t="str">
        <x:v>Post-cutoff guidance</x:v>
      </x:c>
      <x:c r="G18" s="26" t="str">
        <x:v>High - AI/recognition claims</x:v>
      </x:c>
      <x:c r="H18" s="26" t="str">
        <x:v>https://www.uspto.gov/patents/laws/examination-policy/subject-matter-eligibility</x:v>
      </x:c>
    </x:row>
    <x:row r="19">
      <x:c r="A19" s="26" t="str">
        <x:v>2025-09-11</x:v>
      </x:c>
      <x:c r="B19" s="26" t="str">
        <x:v>Electronic filing guidance</x:v>
      </x:c>
      <x:c r="C19" s="26" t="str">
        <x:v>Updated Legal Framework for Patent Electronic System</x:v>
      </x:c>
      <x:c r="D19" s="26" t="str">
        <x:v>90 FR 44050</x:v>
      </x:c>
      <x:c r="E19" s="26" t="str">
        <x:v>2025-09-11</x:v>
      </x:c>
      <x:c r="F19" s="26" t="str">
        <x:v>Post-cutoff guidance</x:v>
      </x:c>
      <x:c r="G19" s="26" t="str">
        <x:v>Medium - filing workflow</x:v>
      </x:c>
      <x:c r="H19" s="26" t="str">
        <x:v>https://www.uspto.gov/web/offices/pac/mpep/subsequent-publications.pdf</x:v>
      </x:c>
    </x:row>
    <x:row r="20">
      <x:c r="A20" s="26" t="str">
        <x:v>2025-10-24</x:v>
      </x:c>
      <x:c r="B20" s="26" t="str">
        <x:v>MPEP superseding memo</x:v>
      </x:c>
      <x:c r="C20" s="26" t="str">
        <x:v>PE2E Similarity Search guidance</x:v>
      </x:c>
      <x:c r="D20" s="26" t="str">
        <x:v>examiner memorandum</x:v>
      </x:c>
      <x:c r="E20" s="26" t="str">
        <x:v>2025-10-24</x:v>
      </x:c>
      <x:c r="F20" s="26" t="str">
        <x:v>Explicitly supersedes portions of current MPEP</x:v>
      </x:c>
      <x:c r="G20" s="26" t="str">
        <x:v>Medium - examination search practices</x:v>
      </x:c>
      <x:c r="H20" s="26" t="str">
        <x:v>https://www.uspto.gov/web/offices/pac/mpep/</x:v>
      </x:c>
    </x:row>
    <x:row r="21">
      <x:c r="A21" s="26" t="str">
        <x:v>2025-10-24</x:v>
      </x:c>
      <x:c r="B21" s="26" t="str">
        <x:v>MPEP superseding memo</x:v>
      </x:c>
      <x:c r="C21" s="26" t="str">
        <x:v>False assertions/certifications of entity status</x:v>
      </x:c>
      <x:c r="D21" s="26" t="str">
        <x:v>examiner memorandum</x:v>
      </x:c>
      <x:c r="E21" s="26" t="str">
        <x:v>2025-10-24</x:v>
      </x:c>
      <x:c r="F21" s="26" t="str">
        <x:v>Explicitly supersedes portions of current MPEP</x:v>
      </x:c>
      <x:c r="G21" s="26" t="str">
        <x:v>Medium - fee/entity compliance</x:v>
      </x:c>
      <x:c r="H21" s="26" t="str">
        <x:v>https://www.uspto.gov/web/offices/pac/mpep/</x:v>
      </x:c>
    </x:row>
    <x:row r="22">
      <x:c r="A22" s="26" t="str">
        <x:v>2025-11-28</x:v>
      </x:c>
      <x:c r="B22" s="26" t="str">
        <x:v>Inventorship guidance</x:v>
      </x:c>
      <x:c r="C22" s="26" t="str">
        <x:v>Revised Inventorship Guidance for AI-Assisted Inventions</x:v>
      </x:c>
      <x:c r="D22" s="26" t="str">
        <x:v>90 FR 54636</x:v>
      </x:c>
      <x:c r="E22" s="26" t="str">
        <x:v>2025-11-28</x:v>
      </x:c>
      <x:c r="F22" s="26" t="str">
        <x:v>Post-cutoff guidance; rescinds Feb. 2024 AI inventorship guidance</x:v>
      </x:c>
      <x:c r="G22" s="26" t="str">
        <x:v>High - AI use + conception record</x:v>
      </x:c>
      <x:c r="H22" s="26" t="str">
        <x:v>https://www.uspto.gov/subscription-center/2025/revised-inventorship-guidance-ai-assisted-inventions</x:v>
      </x:c>
    </x:row>
    <x:row r="23">
      <x:c r="A23" s="26" t="str">
        <x:v>2025-12-04</x:v>
      </x:c>
      <x:c r="B23" s="26" t="str">
        <x:v>Eligibility guidance</x:v>
      </x:c>
      <x:c r="C23" s="26" t="str">
        <x:v>Subject Matter Eligibility Declarations</x:v>
      </x:c>
      <x:c r="D23" s="26" t="str">
        <x:v>examiner memorandum</x:v>
      </x:c>
      <x:c r="E23" s="26" t="str">
        <x:v>2025-12-04</x:v>
      </x:c>
      <x:c r="F23" s="26" t="str">
        <x:v>Post-cutoff guidance</x:v>
      </x:c>
      <x:c r="G23" s="26" t="str">
        <x:v>Medium</x:v>
      </x:c>
      <x:c r="H23" s="26" t="str">
        <x:v>https://www.uspto.gov/patents/laws/examination-policy/subject-matter-eligibility</x:v>
      </x:c>
    </x:row>
    <x:row r="24">
      <x:c r="A24" s="26" t="str">
        <x:v>2025-12-05</x:v>
      </x:c>
      <x:c r="B24" s="26" t="str">
        <x:v>MPEP superseding memo</x:v>
      </x:c>
      <x:c r="C24" s="26" t="str">
        <x:v>Advance notice of change to MPEP in light of Ex Parte Desjardins</x:v>
      </x:c>
      <x:c r="D24" s="26" t="str">
        <x:v>examiner memorandum</x:v>
      </x:c>
      <x:c r="E24" s="26" t="str">
        <x:v>2025-12-05</x:v>
      </x:c>
      <x:c r="F24" s="26" t="str">
        <x:v>Explicitly supersedes portions of current MPEP</x:v>
      </x:c>
      <x:c r="G24" s="26" t="str">
        <x:v>High - technological-improvement arguments</x:v>
      </x:c>
      <x:c r="H24" s="26" t="str">
        <x:v>https://www.uspto.gov/web/offices/pac/mpep/ANC-Desjardins-Memo-12-5-25.pdf</x:v>
      </x:c>
    </x:row>
    <x:row r="25">
      <x:c r="A25" s="26" t="str">
        <x:v>2026-03-20</x:v>
      </x:c>
      <x:c r="B25" s="26" t="str">
        <x:v>Patent rule</x:v>
      </x:c>
      <x:c r="C25" s="26" t="str">
        <x:v>Required Use by Foreign Applicants and Patent Owners of a Patent Practitioner</x:v>
      </x:c>
      <x:c r="D25" s="26" t="str">
        <x:v>91 FR 13510</x:v>
      </x:c>
      <x:c r="E25" s="26" t="str">
        <x:v>2026-07-20</x:v>
      </x:c>
      <x:c r="F25" s="26" t="str">
        <x:v>Post-cutoff rule</x:v>
      </x:c>
      <x:c r="G25" s="26" t="str">
        <x:v>Low unless foreign applicant/owner</x:v>
      </x:c>
      <x:c r="H25" s="26" t="str">
        <x:v>https://www.uspto.gov/web/offices/pac/mpep/subsequent-publications.pdf</x:v>
      </x:c>
    </x:row>
    <x:row r="26">
      <x:c r="A26" s="26" t="str">
        <x:v>2026-03-13</x:v>
      </x:c>
      <x:c r="B26" s="26" t="str">
        <x:v>Design eligibility guidance</x:v>
      </x:c>
      <x:c r="C26" s="26" t="str">
        <x:v>Supplemental Guidance for Computer-Generated Interfaces and Icons</x:v>
      </x:c>
      <x:c r="D26" s="26" t="str">
        <x:v>91 FR 12394</x:v>
      </x:c>
      <x:c r="E26" s="26" t="str">
        <x:v>2026-03-13</x:v>
      </x:c>
      <x:c r="F26" s="26" t="str">
        <x:v>Post-cutoff guidance</x:v>
      </x:c>
      <x:c r="G26" s="26" t="str">
        <x:v>Low for utility filing</x:v>
      </x:c>
      <x:c r="H26" s="26" t="str">
        <x:v>https://www.uspto.gov/web/offices/pac/mpep/subsequent-publications.pdf</x:v>
      </x:c>
    </x:row>
    <x:row r="27">
      <x:c r="A27" s="26" t="str">
        <x:v>2026-04-30</x:v>
      </x:c>
      <x:c r="B27" s="26" t="str">
        <x:v>Eligibility guidance</x:v>
      </x:c>
      <x:c r="C27" s="26" t="str">
        <x:v>Best Practices for Submission of Rule 132 Subject Matter Eligibility Declarations (SMEDs)</x:v>
      </x:c>
      <x:c r="D27" s="26" t="str">
        <x:v>memorandum</x:v>
      </x:c>
      <x:c r="E27" s="26" t="str">
        <x:v>2026-04-30</x:v>
      </x:c>
      <x:c r="F27" s="26" t="str">
        <x:v>Post-cutoff guidance; supersedes Dec. 4 best-practices memo</x:v>
      </x:c>
      <x:c r="G27" s="26" t="str">
        <x:v>Medium - future prosecution</x:v>
      </x:c>
      <x:c r="H27" s="26" t="str">
        <x:v>https://www.uspto.gov/patents/laws/examination-policy/subject-matter-eligibility</x:v>
      </x:c>
    </x:row>
    <x:row r="28">
      <x:c r="A28" s="26" t="str">
        <x:v>2026-06-24</x:v>
      </x:c>
      <x:c r="B28" s="26" t="str">
        <x:v>Patent rule</x:v>
      </x:c>
      <x:c r="C28" s="26" t="str">
        <x:v>Conditions for Additional Information and Fee in Petitions Based on Unintentional Delay</x:v>
      </x:c>
      <x:c r="D28" s="26" t="str">
        <x:v>91 FR 37826</x:v>
      </x:c>
      <x:c r="E28" s="26" t="str">
        <x:v>2026-08-13</x:v>
      </x:c>
      <x:c r="F28" s="26" t="str">
        <x:v>Post-cutoff rule</x:v>
      </x:c>
      <x:c r="G28" s="26" t="str">
        <x:v>Low/administrative</x:v>
      </x:c>
      <x:c r="H28" s="26" t="str">
        <x:v>https://www.uspto.gov/web/offices/pac/mpep/subsequent-publications.pdf</x:v>
      </x:c>
    </x:row>
    <x:row r="29">
      <x:c r="A29" s="26" t="str">
        <x:v>2026-07-17</x:v>
      </x:c>
      <x:c r="B29" s="26" t="str">
        <x:v>Examiner memo</x:v>
      </x:c>
      <x:c r="C29" s="26" t="str">
        <x:v>Requirement for Foreign Applicants to use Patent Practitioner - implementation</x:v>
      </x:c>
      <x:c r="D29" s="26" t="str">
        <x:v>examiner memorandum + examples</x:v>
      </x:c>
      <x:c r="E29" s="26" t="str">
        <x:v>2026-07-20</x:v>
      </x:c>
      <x:c r="F29" s="26" t="str">
        <x:v>Post-cutoff guidance</x:v>
      </x:c>
      <x:c r="G29" s="26" t="str">
        <x:v>Low unless foreign applicant/owner</x:v>
      </x:c>
      <x:c r="H29" s="26" t="str">
        <x:v>https://www.uspto.gov/patents/laws/examination-policy/memoranda-examining-corps</x:v>
      </x:c>
    </x:row>
    <x:row r="30">
      <x:c r="A30" s="26" t="str">
        <x:v>2026-08-03</x:v>
      </x:c>
      <x:c r="B30" s="26" t="str">
        <x:v>Official Gazette practice notice</x:v>
      </x:c>
      <x:c r="C30" s="26" t="str">
        <x:v>Update to Procedure for Filing Patent Applications in DOCX Format through Patent Center</x:v>
      </x:c>
      <x:c r="D30" s="26" t="str">
        <x:v>Official Gazette notice (published 2026-09-01)</x:v>
      </x:c>
      <x:c r="E30" s="26" t="str">
        <x:v>Aug. 2026 process change</x:v>
      </x:c>
      <x:c r="F30" s="26" t="str">
        <x:v>Post-July-20 supplement; MPEP 502.05 pending revision</x:v>
      </x:c>
      <x:c r="G30" s="26" t="str">
        <x:v>High - filing workflow / source-format verification</x:v>
      </x:c>
      <x:c r="H30" s="26" t="str">
        <x:v>https://www.uspto.gov/patents/laws/patent-related-notices/patent-related-notices-2026</x:v>
      </x:c>
    </x:row>
  </x:sheetData>
  <x:pageMargins left="0.7" right="0.7" top="0.75" bottom="0.75" header="0.3" footer="0.3"/>
  <x:tableParts count="1">
    <x:tablePart xmlns:r="http://schemas.openxmlformats.org/officeDocument/2006/relationships" r:id="R7e3bc53a4eb4474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  <x:col min="3" max="3" width="48" hidden="0" customWidth="1"/>
    <x:col min="4" max="4" width="14" hidden="0" customWidth="1"/>
    <x:col min="5" max="5" width="24" hidden="0" customWidth="1"/>
  </x:cols>
  <x:sheetData>
    <x:row r="1">
      <x:c r="A1" s="20" t="str">
        <x:v>Block</x:v>
      </x:c>
      <x:c r="B1" s="20" t="str">
        <x:v>Questions to resolve</x:v>
      </x:c>
      <x:c r="C1" s="20" t="str">
        <x:v>Evidence / output</x:v>
      </x:c>
      <x:c r="D1" s="20" t="str">
        <x:v>Status</x:v>
      </x:c>
      <x:c r="E1" s="20" t="str">
        <x:v>Dependency</x:v>
      </x:c>
    </x:row>
    <x:row r="2">
      <x:c r="A2" s="26" t="str">
        <x:v>Problem</x:v>
      </x:c>
      <x:c r="B2" s="26" t="str">
        <x:v>Where is feral-pig damage costly enough to justify automated control? Who bears the loss?</x:v>
      </x:c>
      <x:c r="C2" s="26" t="str">
        <x:v>Segmented problem statement + loss estimates + buyer map</x:v>
      </x:c>
      <x:c r="D2" s="26" t="str">
        <x:v>Not Started</x:v>
      </x:c>
      <x:c r="E2" s="26" t="str">
        <x:v>Source validation</x:v>
      </x:c>
    </x:row>
    <x:row r="3">
      <x:c r="A3" s="26" t="str">
        <x:v>Customer</x:v>
      </x:c>
      <x:c r="B3" s="26" t="str">
        <x:v>Who can legally buy/deploy/control the system?</x:v>
      </x:c>
      <x:c r="C3" s="26" t="str">
        <x:v>ICP matrix: agency, landowner, farm, operator, airport, conservation manager</x:v>
      </x:c>
      <x:c r="D3" s="26" t="str">
        <x:v>Not Started</x:v>
      </x:c>
      <x:c r="E3" s="26" t="str">
        <x:v>Regulatory map</x:v>
      </x:c>
    </x:row>
    <x:row r="4">
      <x:c r="A4" s="26" t="str">
        <x:v>Value proposition</x:v>
      </x:c>
      <x:c r="B4" s="26" t="str">
        <x:v>What measurable outcome improves: removals/night, labor, non-target risk, crop damage, surveillance burden?</x:v>
      </x:c>
      <x:c r="C4" s="26" t="str">
        <x:v>Quantified benefit hypotheses + pilot metrics</x:v>
      </x:c>
      <x:c r="D4" s="26" t="str">
        <x:v>Not Started</x:v>
      </x:c>
      <x:c r="E4" s="26" t="str">
        <x:v>Pilot design</x:v>
      </x:c>
    </x:row>
    <x:row r="5">
      <x:c r="A5" s="26" t="str">
        <x:v>Product</x:v>
      </x:c>
      <x:c r="B5" s="26" t="str">
        <x:v>What is sold: recognition module, feeder/actuator, full station, managed service, licensing?</x:v>
      </x:c>
      <x:c r="C5" s="26" t="str">
        <x:v>Architecture and BOM/service variants</x:v>
      </x:c>
      <x:c r="D5" s="26" t="str">
        <x:v>Not Started</x:v>
      </x:c>
      <x:c r="E5" s="26" t="str">
        <x:v>Technical disclosure</x:v>
      </x:c>
    </x:row>
    <x:row r="6">
      <x:c r="A6" s="26" t="str">
        <x:v>IP moat</x:v>
      </x:c>
      <x:c r="B6" s="26" t="str">
        <x:v>Which technical features are claimable and hard to design around?</x:v>
      </x:c>
      <x:c r="C6" s="26" t="str">
        <x:v>Claim-support/prior-art matrix</x:v>
      </x:c>
      <x:c r="D6" s="26" t="str">
        <x:v>Not Started</x:v>
      </x:c>
      <x:c r="E6" s="26" t="str">
        <x:v>Prior-art search</x:v>
      </x:c>
    </x:row>
    <x:row r="7">
      <x:c r="A7" s="26" t="str">
        <x:v>Regulatory</x:v>
      </x:c>
      <x:c r="B7" s="26" t="str">
        <x:v>What pesticide/wildlife/device approvals govern each embodiment?</x:v>
      </x:c>
      <x:c r="C7" s="26" t="str">
        <x:v>Jurisdiction-by-jurisdiction deployment matrix</x:v>
      </x:c>
      <x:c r="D7" s="26" t="str">
        <x:v>Not Started</x:v>
      </x:c>
      <x:c r="E7" s="26" t="str">
        <x:v>Counsel/agency research</x:v>
      </x:c>
    </x:row>
    <x:row r="8">
      <x:c r="A8" s="26" t="str">
        <x:v>Go-to-market</x:v>
      </x:c>
      <x:c r="B8" s="26" t="str">
        <x:v>Direct agency procurement, dealers/operators, OEM licensing, pilot-to-contract?</x:v>
      </x:c>
      <x:c r="C8" s="26" t="str">
        <x:v>Channel and procurement strategy</x:v>
      </x:c>
      <x:c r="D8" s="26" t="str">
        <x:v>Not Started</x:v>
      </x:c>
      <x:c r="E8" s="26" t="str">
        <x:v>Customer interviews</x:v>
      </x:c>
    </x:row>
    <x:row r="9">
      <x:c r="A9" s="26" t="str">
        <x:v>Revenue</x:v>
      </x:c>
      <x:c r="B9" s="26" t="str">
        <x:v>Hardware margin, recurring software/data, consumables, service, licensing</x:v>
      </x:c>
      <x:c r="C9" s="26" t="str">
        <x:v>Unit-economics model</x:v>
      </x:c>
      <x:c r="D9" s="26" t="str">
        <x:v>Not Started</x:v>
      </x:c>
      <x:c r="E9" s="26" t="str">
        <x:v>Product choice</x:v>
      </x:c>
    </x:row>
    <x:row r="10">
      <x:c r="A10" s="26" t="str">
        <x:v>Data moat</x:v>
      </x:c>
      <x:c r="B10" s="26" t="str">
        <x:v>Who owns field video/audio/labels and derived models?</x:v>
      </x:c>
      <x:c r="C10" s="26" t="str">
        <x:v>Data rights clause set + retention/security policy</x:v>
      </x:c>
      <x:c r="D10" s="26" t="str">
        <x:v>Not Started</x:v>
      </x:c>
      <x:c r="E10" s="26" t="str">
        <x:v>Partnership/NDA</x:v>
      </x:c>
    </x:row>
    <x:row r="11">
      <x:c r="A11" s="26" t="str">
        <x:v>Pilot</x:v>
      </x:c>
      <x:c r="B11" s="26" t="str">
        <x:v>What can be tested safely and legally without compromising IP?</x:v>
      </x:c>
      <x:c r="C11" s="26" t="str">
        <x:v>Pilot protocol + kill/no-kill phases + success criteria</x:v>
      </x:c>
      <x:c r="D11" s="26" t="str">
        <x:v>Not Started</x:v>
      </x:c>
      <x:c r="E11" s="26" t="str">
        <x:v>Patent filing + regulatory</x:v>
      </x:c>
    </x:row>
  </x:sheetData>
  <x:pageMargins left="0.7" right="0.7" top="0.75" bottom="0.75" header="0.3" footer="0.3"/>
  <x:tableParts count="1">
    <x:tablePart xmlns:r="http://schemas.openxmlformats.org/officeDocument/2006/relationships" r:id="Rba024153d6cb42ad"/>
  </x:tableParts>
</x:worksheet>
</file>